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200" windowHeight="729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C277" i="2"/>
  <c r="AB277"/>
  <c r="AC276"/>
  <c r="AB276"/>
  <c r="AD275"/>
  <c r="AC275"/>
  <c r="AB275"/>
  <c r="AC274"/>
  <c r="AB274"/>
  <c r="AC273"/>
  <c r="AB273"/>
  <c r="AC272"/>
  <c r="AB272"/>
  <c r="AC271"/>
  <c r="AB271"/>
  <c r="AC270"/>
  <c r="AB270"/>
  <c r="AC269"/>
  <c r="AB269"/>
  <c r="AC268"/>
  <c r="AB268"/>
  <c r="AC267"/>
  <c r="AB267"/>
  <c r="AD266"/>
  <c r="AC266"/>
  <c r="AB266"/>
  <c r="AC265"/>
  <c r="AB265"/>
  <c r="AC264"/>
  <c r="AB264"/>
  <c r="AC263"/>
  <c r="AB263"/>
  <c r="AC262"/>
  <c r="AB262"/>
  <c r="AD261"/>
  <c r="AC261"/>
  <c r="AB261"/>
  <c r="AC260"/>
  <c r="AB260"/>
  <c r="AC259"/>
  <c r="AB259"/>
  <c r="AD258"/>
  <c r="AC258"/>
  <c r="AB258"/>
  <c r="AC257"/>
  <c r="AB257"/>
  <c r="AC256"/>
  <c r="AB256"/>
  <c r="AC255"/>
  <c r="AB255"/>
  <c r="AC254"/>
  <c r="AB254"/>
  <c r="AC253"/>
  <c r="AB253"/>
  <c r="AD252"/>
  <c r="AC252"/>
  <c r="AB252"/>
  <c r="AC251"/>
  <c r="AB251"/>
  <c r="AC250"/>
  <c r="AB250"/>
  <c r="AC249"/>
  <c r="AB249"/>
  <c r="AC248"/>
  <c r="AB248"/>
  <c r="AC247"/>
  <c r="AB247"/>
  <c r="AC246"/>
  <c r="AB246"/>
  <c r="AC245"/>
  <c r="AB245"/>
  <c r="AC244"/>
  <c r="AB244"/>
  <c r="AC243"/>
  <c r="AB243"/>
  <c r="AD242"/>
  <c r="AC242"/>
  <c r="AB242"/>
  <c r="AC241"/>
  <c r="AB241"/>
  <c r="AD240"/>
  <c r="AC240"/>
  <c r="AB240"/>
  <c r="AC239"/>
  <c r="AB239"/>
  <c r="AC238"/>
  <c r="AB238"/>
  <c r="AC237"/>
  <c r="AB237"/>
  <c r="AD236"/>
  <c r="AC236"/>
  <c r="AB236"/>
  <c r="AC235"/>
  <c r="AB235"/>
  <c r="AC234"/>
  <c r="AB234"/>
  <c r="AC233"/>
  <c r="AB233"/>
  <c r="AC232"/>
  <c r="AB232"/>
  <c r="AC231"/>
  <c r="AB231"/>
  <c r="AC230"/>
  <c r="AB230"/>
  <c r="AC229"/>
  <c r="AB229"/>
  <c r="AC228"/>
  <c r="AB228"/>
  <c r="AD227"/>
  <c r="AC227"/>
  <c r="AB227"/>
  <c r="AC226"/>
  <c r="AB226"/>
  <c r="AC225"/>
  <c r="AB225"/>
  <c r="AC224"/>
  <c r="AB224"/>
  <c r="AC223"/>
  <c r="AB223"/>
  <c r="AC222"/>
  <c r="AB222"/>
  <c r="AD221"/>
  <c r="AC221"/>
  <c r="AB221"/>
  <c r="AC220"/>
  <c r="AB220"/>
  <c r="AD219"/>
  <c r="AC219"/>
  <c r="AB219"/>
  <c r="AC218"/>
  <c r="AB218"/>
  <c r="AC217"/>
  <c r="AB217"/>
  <c r="AC216"/>
  <c r="AB216"/>
  <c r="AC215"/>
  <c r="AB215"/>
  <c r="AC214"/>
  <c r="AB214"/>
  <c r="AC213"/>
  <c r="AB213"/>
  <c r="AC212"/>
  <c r="AB212"/>
  <c r="AC211"/>
  <c r="AB211"/>
  <c r="AD210"/>
  <c r="AC210"/>
  <c r="AB210"/>
  <c r="AC209"/>
  <c r="AB209"/>
  <c r="AC208"/>
  <c r="AB208"/>
  <c r="AC207"/>
  <c r="AB207"/>
  <c r="AC206"/>
  <c r="AB206"/>
  <c r="AC205"/>
  <c r="AB205"/>
  <c r="AC204"/>
  <c r="AB204"/>
  <c r="AC203"/>
  <c r="AB203"/>
  <c r="AD202"/>
  <c r="AC202"/>
  <c r="AB202"/>
  <c r="AC201"/>
  <c r="AB201"/>
  <c r="AC200"/>
  <c r="AB200"/>
  <c r="AC199"/>
  <c r="AB199"/>
  <c r="AC198"/>
  <c r="AB198"/>
  <c r="AD197"/>
  <c r="AC197"/>
  <c r="AB197"/>
  <c r="AC196"/>
  <c r="AB196"/>
  <c r="AC195"/>
  <c r="AB195"/>
  <c r="AC194"/>
  <c r="AB194"/>
  <c r="AC193"/>
  <c r="AB193"/>
  <c r="AC192"/>
  <c r="AB192"/>
  <c r="AC191"/>
  <c r="AB191"/>
  <c r="AC190"/>
  <c r="AB190"/>
  <c r="AC189"/>
  <c r="AB189"/>
  <c r="AC188"/>
  <c r="AB188"/>
  <c r="AC187"/>
  <c r="AB187"/>
  <c r="AC186"/>
  <c r="AB186"/>
  <c r="AC185"/>
  <c r="AB185"/>
  <c r="AC184"/>
  <c r="AB184"/>
  <c r="AC183"/>
  <c r="AB183"/>
  <c r="AC182"/>
  <c r="AB182"/>
  <c r="AC181"/>
  <c r="AB181"/>
  <c r="AC180"/>
  <c r="AB180"/>
  <c r="AC179"/>
  <c r="AB179"/>
  <c r="AC178"/>
  <c r="AB178"/>
  <c r="AC177"/>
  <c r="AB177"/>
  <c r="AC176"/>
  <c r="AB176"/>
  <c r="AC175"/>
  <c r="AB175"/>
  <c r="AC174"/>
  <c r="AB174"/>
  <c r="AC173"/>
  <c r="AB173"/>
  <c r="AC172"/>
  <c r="AB172"/>
  <c r="AC171"/>
  <c r="AB171"/>
  <c r="AC170"/>
  <c r="AB170"/>
  <c r="AC169"/>
  <c r="AB169"/>
  <c r="AC168"/>
  <c r="AB168"/>
  <c r="AC167"/>
  <c r="AB167"/>
  <c r="AC166"/>
  <c r="AB166"/>
  <c r="AC165"/>
  <c r="AB165"/>
  <c r="AC164"/>
  <c r="AB164"/>
  <c r="AC163"/>
  <c r="AB163"/>
  <c r="AC162"/>
  <c r="AB162"/>
  <c r="AC161"/>
  <c r="AB161"/>
  <c r="AC160"/>
  <c r="AB160"/>
  <c r="AD159"/>
  <c r="AC159"/>
  <c r="AB159"/>
  <c r="AC158"/>
  <c r="AB158"/>
  <c r="AC157"/>
  <c r="AB157"/>
  <c r="AC156"/>
  <c r="AB156"/>
  <c r="AC155"/>
  <c r="AB155"/>
  <c r="AC154"/>
  <c r="AB154"/>
  <c r="AC153"/>
  <c r="AB153"/>
  <c r="AC152"/>
  <c r="AB152"/>
  <c r="AC151"/>
  <c r="AB151"/>
  <c r="AC150"/>
  <c r="AB150"/>
  <c r="AC149"/>
  <c r="AB149"/>
  <c r="AC148"/>
  <c r="AB148"/>
  <c r="AC147"/>
  <c r="AB147"/>
  <c r="AC146"/>
  <c r="AB146"/>
  <c r="AC145"/>
  <c r="AB145"/>
  <c r="AC144"/>
  <c r="AB144"/>
  <c r="AC143"/>
  <c r="AB143"/>
  <c r="AC142"/>
  <c r="AB142"/>
  <c r="AC141"/>
  <c r="AB141"/>
  <c r="AC140"/>
  <c r="AB140"/>
  <c r="AC139"/>
  <c r="AB139"/>
  <c r="AC138"/>
  <c r="AB138"/>
  <c r="AC137"/>
  <c r="AB137"/>
  <c r="AC136"/>
  <c r="AB136"/>
  <c r="AC135"/>
  <c r="AB135"/>
  <c r="AC134"/>
  <c r="AB134"/>
  <c r="AC133"/>
  <c r="AB133"/>
  <c r="AC132"/>
  <c r="AB132"/>
  <c r="AC131"/>
  <c r="AB131"/>
  <c r="AC130"/>
  <c r="AB130"/>
  <c r="AC129"/>
  <c r="AB129"/>
  <c r="AD128"/>
  <c r="AC128"/>
  <c r="AB128"/>
  <c r="AB127"/>
  <c r="AC126"/>
  <c r="AB126"/>
  <c r="AC125"/>
  <c r="AB125"/>
  <c r="AC124"/>
  <c r="AB124"/>
  <c r="AC123"/>
  <c r="AB123"/>
  <c r="AC122"/>
  <c r="AB122"/>
  <c r="AC121"/>
  <c r="AB121"/>
  <c r="AC120"/>
  <c r="AB120"/>
  <c r="AC119"/>
  <c r="AB119"/>
  <c r="AC118"/>
  <c r="AB118"/>
  <c r="AC117"/>
  <c r="AB117"/>
  <c r="AC116"/>
  <c r="AB116"/>
  <c r="AD115"/>
  <c r="AC115"/>
  <c r="AB115"/>
  <c r="AB114"/>
  <c r="AC113"/>
  <c r="AB113"/>
  <c r="AC112"/>
  <c r="AB112"/>
  <c r="AC111"/>
  <c r="AB111"/>
  <c r="AB110"/>
  <c r="AC109"/>
  <c r="AB109"/>
  <c r="AC108"/>
  <c r="AB108"/>
  <c r="AC107"/>
  <c r="AB107"/>
  <c r="AD106"/>
  <c r="AC106"/>
  <c r="AB106"/>
  <c r="AC105"/>
  <c r="AB105"/>
  <c r="AC104"/>
  <c r="AB104"/>
  <c r="AC103"/>
  <c r="AB103"/>
  <c r="AC102"/>
  <c r="AB102"/>
  <c r="AD101"/>
  <c r="AC101"/>
  <c r="AB101"/>
  <c r="AC100"/>
  <c r="AB100"/>
  <c r="AC99"/>
  <c r="AB99"/>
  <c r="AC98"/>
  <c r="AB98"/>
  <c r="AC97"/>
  <c r="AB97"/>
  <c r="AC96"/>
  <c r="AB96"/>
  <c r="AC95"/>
  <c r="AB95"/>
  <c r="AD94"/>
  <c r="AC94"/>
  <c r="AB94"/>
  <c r="AC93"/>
  <c r="AB93"/>
  <c r="AC92"/>
  <c r="AB92"/>
  <c r="AC91"/>
  <c r="AB91"/>
  <c r="AC90"/>
  <c r="AB90"/>
  <c r="AC89"/>
  <c r="AB89"/>
  <c r="AD88"/>
  <c r="AC88"/>
  <c r="AB88"/>
  <c r="AD87"/>
  <c r="AC87"/>
  <c r="AB87"/>
  <c r="AD86"/>
  <c r="AC86"/>
  <c r="AB86"/>
  <c r="AD85"/>
  <c r="AC85"/>
  <c r="AB85"/>
  <c r="AD84"/>
  <c r="AC84"/>
  <c r="AB84"/>
  <c r="AD83"/>
  <c r="AC83"/>
  <c r="AB83"/>
  <c r="AD82"/>
  <c r="AC82"/>
  <c r="AB82"/>
  <c r="AD81"/>
  <c r="AC81"/>
  <c r="AB81"/>
  <c r="AD80"/>
  <c r="AC80"/>
  <c r="AB80"/>
  <c r="AD79"/>
  <c r="AC79"/>
  <c r="AB79"/>
  <c r="AD78"/>
  <c r="AC78"/>
  <c r="AB78"/>
  <c r="AD77"/>
  <c r="AC77"/>
  <c r="AB77"/>
  <c r="AD76"/>
  <c r="AC76"/>
  <c r="AB76"/>
  <c r="AD75"/>
  <c r="AC75"/>
  <c r="AB75"/>
  <c r="AD74"/>
  <c r="AC74"/>
  <c r="AB74"/>
  <c r="AD73"/>
  <c r="AC73"/>
  <c r="AB73"/>
  <c r="AD72"/>
  <c r="AC72"/>
  <c r="AB72"/>
  <c r="AD71"/>
  <c r="AC71"/>
  <c r="AB71"/>
  <c r="AD70"/>
  <c r="AC70"/>
  <c r="AB70"/>
  <c r="AD69"/>
  <c r="AC69"/>
  <c r="AB69"/>
  <c r="AD68"/>
  <c r="AC68"/>
  <c r="AB68"/>
  <c r="AD67"/>
  <c r="AC67"/>
  <c r="AB67"/>
  <c r="AD66"/>
  <c r="AC66"/>
  <c r="AB66"/>
  <c r="AD65"/>
  <c r="AC65"/>
  <c r="AB65"/>
  <c r="AD64"/>
  <c r="AC64"/>
  <c r="AB64"/>
  <c r="AD63"/>
  <c r="AC63"/>
  <c r="AB63"/>
  <c r="AD62"/>
  <c r="AC62"/>
  <c r="AB62"/>
  <c r="AD61"/>
  <c r="AC61"/>
  <c r="AB61"/>
  <c r="AC60"/>
  <c r="AB60"/>
  <c r="AC59"/>
  <c r="AB59"/>
  <c r="AC58"/>
  <c r="AB58"/>
  <c r="AC57"/>
  <c r="AB57"/>
  <c r="AC56"/>
  <c r="AB56"/>
  <c r="AC55"/>
  <c r="AB55"/>
  <c r="AC54"/>
  <c r="AB54"/>
  <c r="AC53"/>
  <c r="AB53"/>
  <c r="AC52"/>
  <c r="AB52"/>
  <c r="AC51"/>
  <c r="AB51"/>
  <c r="AC50"/>
  <c r="AB50"/>
  <c r="AD49"/>
  <c r="AB49"/>
  <c r="AC48"/>
  <c r="AB48"/>
  <c r="AC47"/>
  <c r="AB47"/>
  <c r="AC46"/>
  <c r="AB46"/>
  <c r="AC45"/>
  <c r="AB45"/>
  <c r="AC44"/>
  <c r="AB44"/>
  <c r="AC43"/>
  <c r="AB43"/>
  <c r="AC42"/>
  <c r="AB42"/>
  <c r="AC41"/>
  <c r="AB41"/>
  <c r="AD40"/>
  <c r="AB40"/>
  <c r="AC39"/>
  <c r="AB39"/>
  <c r="AC38"/>
  <c r="AB38"/>
  <c r="AC37"/>
  <c r="AB37"/>
  <c r="AC36"/>
  <c r="AB36"/>
  <c r="AC35"/>
  <c r="AB35"/>
  <c r="AC34"/>
  <c r="AB34"/>
  <c r="AC33"/>
  <c r="AB33"/>
  <c r="AC32"/>
  <c r="AB32"/>
  <c r="AD31"/>
  <c r="AC31"/>
  <c r="AB31"/>
  <c r="AB30"/>
  <c r="AB29"/>
  <c r="AB28"/>
  <c r="AB27"/>
  <c r="AB26"/>
  <c r="AB25"/>
  <c r="AB24"/>
  <c r="AB23"/>
  <c r="AB22"/>
  <c r="AB21"/>
  <c r="AB20"/>
  <c r="AB19"/>
  <c r="AB18"/>
  <c r="AB17"/>
  <c r="AC16"/>
  <c r="AB16"/>
  <c r="AC15"/>
  <c r="AB15"/>
  <c r="AC14"/>
  <c r="AB14"/>
  <c r="AC13"/>
  <c r="AB13"/>
  <c r="AC12"/>
  <c r="AB12"/>
  <c r="AD11"/>
  <c r="AC11"/>
  <c r="AB11"/>
  <c r="AC10"/>
  <c r="AB10"/>
  <c r="AB9"/>
  <c r="AB8"/>
  <c r="AB7"/>
  <c r="AB6"/>
  <c r="AC5"/>
  <c r="AB5"/>
  <c r="AC4"/>
  <c r="AB4"/>
  <c r="AC3"/>
  <c r="AB3"/>
  <c r="AD2"/>
  <c r="AC2"/>
  <c r="AB2"/>
</calcChain>
</file>

<file path=xl/sharedStrings.xml><?xml version="1.0" encoding="utf-8"?>
<sst xmlns="http://schemas.openxmlformats.org/spreadsheetml/2006/main" count="1963" uniqueCount="562">
  <si>
    <t>E:\workspace\springbreeze\src\test\java\com\google\code\springbreeze\web\service\WebServiceAcountTest.java</t>
    <phoneticPr fontId="1" type="noConversion"/>
  </si>
  <si>
    <t>No.</t>
    <phoneticPr fontId="1" type="noConversion"/>
  </si>
  <si>
    <t>Category</t>
    <phoneticPr fontId="1" type="noConversion"/>
  </si>
  <si>
    <t>Table display</t>
    <phoneticPr fontId="1" type="noConversion"/>
  </si>
  <si>
    <t>Table Name</t>
    <phoneticPr fontId="1" type="noConversion"/>
  </si>
  <si>
    <t>Column Name</t>
    <phoneticPr fontId="1" type="noConversion"/>
  </si>
  <si>
    <t>Properties Name</t>
  </si>
  <si>
    <t>Display Name</t>
    <phoneticPr fontId="1" type="noConversion"/>
  </si>
  <si>
    <t>DB Type</t>
    <phoneticPr fontId="1" type="noConversion"/>
  </si>
  <si>
    <t>Java Type</t>
    <phoneticPr fontId="1" type="noConversion"/>
  </si>
  <si>
    <t>Entity Length</t>
    <phoneticPr fontId="1" type="noConversion"/>
  </si>
  <si>
    <t>Length</t>
    <phoneticPr fontId="1" type="noConversion"/>
  </si>
  <si>
    <t>Scale</t>
    <phoneticPr fontId="1" type="noConversion"/>
  </si>
  <si>
    <t>Precision</t>
    <phoneticPr fontId="1" type="noConversion"/>
  </si>
  <si>
    <t>IS PK</t>
    <phoneticPr fontId="1" type="noConversion"/>
  </si>
  <si>
    <t>INCREMENT</t>
    <phoneticPr fontId="1" type="noConversion"/>
  </si>
  <si>
    <t>Not Null</t>
    <phoneticPr fontId="1" type="noConversion"/>
  </si>
  <si>
    <t>FK</t>
    <phoneticPr fontId="1" type="noConversion"/>
  </si>
  <si>
    <t>Default</t>
    <phoneticPr fontId="1" type="noConversion"/>
  </si>
  <si>
    <t>数据元标识符</t>
    <phoneticPr fontId="1" type="noConversion"/>
  </si>
  <si>
    <t>数据元名称</t>
    <phoneticPr fontId="1" type="noConversion"/>
  </si>
  <si>
    <t>定义</t>
    <phoneticPr fontId="1" type="noConversion"/>
  </si>
  <si>
    <t>数据元值的数据类型</t>
    <phoneticPr fontId="1" type="noConversion"/>
  </si>
  <si>
    <t>表示格式</t>
    <phoneticPr fontId="1" type="noConversion"/>
  </si>
  <si>
    <t>codeSystem</t>
    <phoneticPr fontId="1" type="noConversion"/>
  </si>
  <si>
    <t>codeSystemName</t>
    <phoneticPr fontId="1" type="noConversion"/>
  </si>
  <si>
    <t>数据元允许值</t>
    <phoneticPr fontId="1" type="noConversion"/>
  </si>
  <si>
    <t>备注</t>
    <phoneticPr fontId="1" type="noConversion"/>
  </si>
  <si>
    <r>
      <t>D</t>
    </r>
    <r>
      <rPr>
        <sz val="10"/>
        <color theme="1"/>
        <rFont val="宋体"/>
        <family val="3"/>
        <charset val="134"/>
        <scheme val="minor"/>
      </rPr>
      <t>LL</t>
    </r>
    <phoneticPr fontId="1" type="noConversion"/>
  </si>
  <si>
    <r>
      <t>D</t>
    </r>
    <r>
      <rPr>
        <sz val="10"/>
        <color theme="1"/>
        <rFont val="宋体"/>
        <family val="3"/>
        <charset val="134"/>
        <scheme val="minor"/>
      </rPr>
      <t>LL COMMENT</t>
    </r>
    <phoneticPr fontId="1" type="noConversion"/>
  </si>
  <si>
    <t>DLL_SEQUENCE</t>
    <phoneticPr fontId="1" type="noConversion"/>
  </si>
  <si>
    <t>fasf</t>
  </si>
  <si>
    <t>通用字典域定义</t>
  </si>
  <si>
    <t>cv_dicmeta</t>
  </si>
  <si>
    <t>id</t>
  </si>
  <si>
    <t>术语目录标识</t>
  </si>
  <si>
    <t>NUMBER</t>
  </si>
  <si>
    <t>java.lang.Integer</t>
    <phoneticPr fontId="1" type="noConversion"/>
  </si>
  <si>
    <t>Y</t>
  </si>
  <si>
    <t>seq_dic_domain</t>
  </si>
  <si>
    <t>DROP TABLE cv_dicmeta;</t>
  </si>
  <si>
    <t>domain_id</t>
  </si>
  <si>
    <t>domainId</t>
  </si>
  <si>
    <t>域标识</t>
  </si>
  <si>
    <t/>
  </si>
  <si>
    <t>code</t>
  </si>
  <si>
    <t>编码</t>
  </si>
  <si>
    <t>VARCHAR2</t>
  </si>
  <si>
    <t>java.lang.String</t>
  </si>
  <si>
    <t>name</t>
  </si>
  <si>
    <t>名称</t>
  </si>
  <si>
    <t>oid</t>
  </si>
  <si>
    <t>对象标识</t>
  </si>
  <si>
    <t>oid_name</t>
  </si>
  <si>
    <t>oidName</t>
  </si>
  <si>
    <t>对象标识名</t>
  </si>
  <si>
    <t>is_cv</t>
  </si>
  <si>
    <t>isCv</t>
  </si>
  <si>
    <t>version</t>
  </si>
  <si>
    <t>版本号</t>
  </si>
  <si>
    <t>status</t>
  </si>
  <si>
    <t>状态</t>
  </si>
  <si>
    <t>通用字典</t>
  </si>
  <si>
    <t>cv_dictionary</t>
  </si>
  <si>
    <t>术语字典标识</t>
  </si>
  <si>
    <t>java.lang.Long</t>
    <phoneticPr fontId="1" type="noConversion"/>
  </si>
  <si>
    <t>seq_cv_dictionary</t>
  </si>
  <si>
    <t>dic_domain</t>
  </si>
  <si>
    <t>DROP TABLE cv_dictionary;</t>
  </si>
  <si>
    <t>domainId</t>
    <phoneticPr fontId="1" type="noConversion"/>
  </si>
  <si>
    <t>cv_dicmeta_code</t>
  </si>
  <si>
    <t>cvDicmetaCode</t>
    <phoneticPr fontId="1" type="noConversion"/>
  </si>
  <si>
    <t>术语目录编码</t>
  </si>
  <si>
    <t>术语编码</t>
  </si>
  <si>
    <t>d_code</t>
  </si>
  <si>
    <t>dCode</t>
    <phoneticPr fontId="1" type="noConversion"/>
  </si>
  <si>
    <t>自定义编码</t>
  </si>
  <si>
    <t>py_code</t>
  </si>
  <si>
    <t>pyCode</t>
    <phoneticPr fontId="1" type="noConversion"/>
  </si>
  <si>
    <t>拼音码</t>
  </si>
  <si>
    <t>wb_code</t>
  </si>
  <si>
    <t>wbCode</t>
    <phoneticPr fontId="1" type="noConversion"/>
  </si>
  <si>
    <t>五笔码</t>
  </si>
  <si>
    <t>版本</t>
  </si>
  <si>
    <t>cs1</t>
  </si>
  <si>
    <t>扩展字符型字段1</t>
  </si>
  <si>
    <t>cs2</t>
  </si>
  <si>
    <t>扩展字符型字段2</t>
  </si>
  <si>
    <t>cs3</t>
  </si>
  <si>
    <t>扩展字符型字段3</t>
  </si>
  <si>
    <t>cs4</t>
  </si>
  <si>
    <t>扩展字符型字段4</t>
  </si>
  <si>
    <t>cs5</t>
  </si>
  <si>
    <t>扩展字符型字段5</t>
  </si>
  <si>
    <t>cn1</t>
  </si>
  <si>
    <t>扩展值类型字段1</t>
  </si>
  <si>
    <t>cn2</t>
  </si>
  <si>
    <t>扩展值类型字段2</t>
  </si>
  <si>
    <t>cn3</t>
  </si>
  <si>
    <t>扩展值类型字段3</t>
  </si>
  <si>
    <t>cn4</t>
  </si>
  <si>
    <t>扩展值类型字段4</t>
  </si>
  <si>
    <t>cn5</t>
  </si>
  <si>
    <t>扩展值类型字段5</t>
  </si>
  <si>
    <t>卫生信息数据元</t>
  </si>
  <si>
    <t>cv_metadata</t>
  </si>
  <si>
    <t>metadata_id</t>
  </si>
  <si>
    <t>数据元标识</t>
  </si>
  <si>
    <t>VARCHAR2</t>
    <phoneticPr fontId="6" type="noConversion"/>
  </si>
  <si>
    <t>DROP TABLE cv_metadata;</t>
  </si>
  <si>
    <t>数据元名称</t>
  </si>
  <si>
    <t>defination</t>
  </si>
  <si>
    <t>数据元定义</t>
  </si>
  <si>
    <t>java_type</t>
  </si>
  <si>
    <t>Java类型</t>
    <phoneticPr fontId="1" type="noConversion"/>
  </si>
  <si>
    <t>data_type</t>
  </si>
  <si>
    <t>数据元值类型</t>
  </si>
  <si>
    <t xml:space="preserve">data_format </t>
  </si>
  <si>
    <t>数据元表示格式</t>
  </si>
  <si>
    <t>hl7_type</t>
  </si>
  <si>
    <t>HL7数据类型</t>
    <phoneticPr fontId="1" type="noConversion"/>
  </si>
  <si>
    <t>option_value</t>
  </si>
  <si>
    <t>允许值</t>
  </si>
  <si>
    <t>dicmeta_id</t>
  </si>
  <si>
    <t>字典元标识</t>
  </si>
  <si>
    <t>卫生活动表</t>
  </si>
  <si>
    <t>cv_act</t>
  </si>
  <si>
    <t>活动标识</t>
  </si>
  <si>
    <t>java.lang.Integer</t>
  </si>
  <si>
    <t>seq_cv_act</t>
  </si>
  <si>
    <t>COMMENT ON COLUMN cv_act.id IS '活动标识';</t>
  </si>
  <si>
    <t>DROP TABLE cv_act;</t>
  </si>
  <si>
    <t>活动编码</t>
  </si>
  <si>
    <t>业务活动名称</t>
  </si>
  <si>
    <t>hl7_domain</t>
  </si>
  <si>
    <t>HL7通用域</t>
  </si>
  <si>
    <t>hl7_rim</t>
  </si>
  <si>
    <t>HL7模型</t>
  </si>
  <si>
    <t>v3_oid</t>
  </si>
  <si>
    <t>v3 OID</t>
    <phoneticPr fontId="1" type="noConversion"/>
  </si>
  <si>
    <t>v3_template</t>
  </si>
  <si>
    <t>v3模板</t>
    <phoneticPr fontId="1" type="noConversion"/>
  </si>
  <si>
    <t>cda_oid</t>
  </si>
  <si>
    <t>CDA OID</t>
    <phoneticPr fontId="1" type="noConversion"/>
  </si>
  <si>
    <t>cda_template</t>
  </si>
  <si>
    <t>CDA模板</t>
    <phoneticPr fontId="1" type="noConversion"/>
  </si>
  <si>
    <t>活动配置表</t>
  </si>
  <si>
    <t>act_cfg</t>
  </si>
  <si>
    <t>act_cfg_id</t>
  </si>
  <si>
    <t>配置表标识</t>
  </si>
  <si>
    <t>seq_act_cfg</t>
    <phoneticPr fontId="1" type="noConversion"/>
  </si>
  <si>
    <t>COMMENT ON COLUMN act_cfg.act_cfg_id IS '配置表id';</t>
  </si>
  <si>
    <t>DROP TABLE act_cfg;</t>
  </si>
  <si>
    <t>act_id</t>
  </si>
  <si>
    <t>活动名称</t>
  </si>
  <si>
    <t>display_name</t>
  </si>
  <si>
    <t>数据元标识符</t>
  </si>
  <si>
    <t>table_name</t>
  </si>
  <si>
    <t>表名</t>
  </si>
  <si>
    <t>column_name</t>
  </si>
  <si>
    <t>字段名</t>
  </si>
  <si>
    <t>cda_section</t>
  </si>
  <si>
    <t>CDA章节</t>
    <phoneticPr fontId="1" type="noConversion"/>
  </si>
  <si>
    <t>cda_class</t>
  </si>
  <si>
    <t>CDA类名</t>
    <phoneticPr fontId="1" type="noConversion"/>
  </si>
  <si>
    <t>cda_property</t>
  </si>
  <si>
    <t>CDA属性名</t>
    <phoneticPr fontId="1" type="noConversion"/>
  </si>
  <si>
    <t>v3_class</t>
  </si>
  <si>
    <t>V3类名</t>
    <phoneticPr fontId="1" type="noConversion"/>
  </si>
  <si>
    <t>v3_property</t>
  </si>
  <si>
    <t>V3属性名</t>
    <phoneticPr fontId="1" type="noConversion"/>
  </si>
  <si>
    <t>rim_class</t>
  </si>
  <si>
    <t>RIM类名</t>
    <phoneticPr fontId="1" type="noConversion"/>
  </si>
  <si>
    <t>fasf</t>
    <phoneticPr fontId="1" type="noConversion"/>
  </si>
  <si>
    <t>用户表</t>
    <phoneticPr fontId="1" type="noConversion"/>
  </si>
  <si>
    <t>user</t>
  </si>
  <si>
    <t>用户标识</t>
  </si>
  <si>
    <t>java.lang.Long</t>
  </si>
  <si>
    <t>name</t>
    <phoneticPr fontId="1" type="noConversion"/>
  </si>
  <si>
    <t>姓名</t>
    <phoneticPr fontId="1" type="noConversion"/>
  </si>
  <si>
    <t>password</t>
  </si>
  <si>
    <t>登录密码</t>
  </si>
  <si>
    <t>gender</t>
    <phoneticPr fontId="1" type="noConversion"/>
  </si>
  <si>
    <t>性别</t>
  </si>
  <si>
    <t>birth_date</t>
  </si>
  <si>
    <t>出生日期</t>
  </si>
  <si>
    <t>DATE</t>
  </si>
  <si>
    <t>java.util.Date</t>
  </si>
  <si>
    <t>identity_card</t>
  </si>
  <si>
    <t>身份证号</t>
  </si>
  <si>
    <t>email</t>
  </si>
  <si>
    <t>电子邮件</t>
  </si>
  <si>
    <t>telephone</t>
  </si>
  <si>
    <t>固定电话</t>
  </si>
  <si>
    <t>mobile</t>
  </si>
  <si>
    <t>手机号码</t>
  </si>
  <si>
    <t>home_addr</t>
    <phoneticPr fontId="1" type="noConversion"/>
  </si>
  <si>
    <t>家庭住址</t>
  </si>
  <si>
    <t>description</t>
  </si>
  <si>
    <t>用户描述</t>
  </si>
  <si>
    <t>available</t>
    <phoneticPr fontId="1" type="noConversion"/>
  </si>
  <si>
    <t>是否可用</t>
  </si>
  <si>
    <t>角色</t>
    <phoneticPr fontId="1" type="noConversion"/>
  </si>
  <si>
    <t>role</t>
  </si>
  <si>
    <t>角色标识</t>
  </si>
  <si>
    <t>角色名称</t>
  </si>
  <si>
    <t>角色描述</t>
  </si>
  <si>
    <t>用户角色对应</t>
    <phoneticPr fontId="1" type="noConversion"/>
  </si>
  <si>
    <t>user_role</t>
  </si>
  <si>
    <t>user_id</t>
  </si>
  <si>
    <t>role_id</t>
  </si>
  <si>
    <t>权限</t>
    <phoneticPr fontId="1" type="noConversion"/>
  </si>
  <si>
    <t>access</t>
  </si>
  <si>
    <t>权限标识</t>
  </si>
  <si>
    <t>url</t>
  </si>
  <si>
    <t>地址</t>
  </si>
  <si>
    <t>描述</t>
  </si>
  <si>
    <t>角色权限对应</t>
    <phoneticPr fontId="1" type="noConversion"/>
  </si>
  <si>
    <t>role_access</t>
  </si>
  <si>
    <t>access_id</t>
  </si>
  <si>
    <t>站点配置</t>
    <phoneticPr fontId="1" type="noConversion"/>
  </si>
  <si>
    <t>site_config</t>
  </si>
  <si>
    <t>参数标识</t>
  </si>
  <si>
    <t>system_name</t>
  </si>
  <si>
    <t>系统名称</t>
  </si>
  <si>
    <t>system_logo</t>
  </si>
  <si>
    <t>系统图标</t>
  </si>
  <si>
    <t>send_email_smtp</t>
  </si>
  <si>
    <t>SMTP IP</t>
    <phoneticPr fontId="1" type="noConversion"/>
  </si>
  <si>
    <t>send_email_address</t>
  </si>
  <si>
    <t>邮件账号</t>
    <phoneticPr fontId="1" type="noConversion"/>
  </si>
  <si>
    <t>send_email_password</t>
  </si>
  <si>
    <t>邮件发送密码</t>
    <phoneticPr fontId="1" type="noConversion"/>
  </si>
  <si>
    <t>sms_server_url</t>
  </si>
  <si>
    <t>短信服务地址</t>
  </si>
  <si>
    <t>sms_user_name</t>
    <phoneticPr fontId="1" type="noConversion"/>
  </si>
  <si>
    <t>短信服务姓名</t>
    <phoneticPr fontId="1" type="noConversion"/>
  </si>
  <si>
    <t>sms_password</t>
    <phoneticPr fontId="1" type="noConversion"/>
  </si>
  <si>
    <t>短信服务密码</t>
    <phoneticPr fontId="1" type="noConversion"/>
  </si>
  <si>
    <t>copyright</t>
  </si>
  <si>
    <t>版权</t>
  </si>
  <si>
    <t>available</t>
  </si>
  <si>
    <t>通知</t>
    <phoneticPr fontId="1" type="noConversion"/>
  </si>
  <si>
    <t>notice</t>
  </si>
  <si>
    <t>id</t>
    <phoneticPr fontId="1" type="noConversion"/>
  </si>
  <si>
    <t>通知标识</t>
  </si>
  <si>
    <t>title</t>
  </si>
  <si>
    <t>标题</t>
  </si>
  <si>
    <t>content</t>
  </si>
  <si>
    <t>内容</t>
  </si>
  <si>
    <t>release_date</t>
  </si>
  <si>
    <t>发布日期</t>
  </si>
  <si>
    <t>trigger_date</t>
  </si>
  <si>
    <t>日期</t>
  </si>
  <si>
    <t>submiter</t>
    <phoneticPr fontId="1" type="noConversion"/>
  </si>
  <si>
    <t>status</t>
    <phoneticPr fontId="1" type="noConversion"/>
  </si>
  <si>
    <t>通知状态</t>
  </si>
  <si>
    <t>hcms</t>
    <phoneticPr fontId="1" type="noConversion"/>
  </si>
  <si>
    <t>医院</t>
    <phoneticPr fontId="1" type="noConversion"/>
  </si>
  <si>
    <t>hospital</t>
    <phoneticPr fontId="1" type="noConversion"/>
  </si>
  <si>
    <t>hospital_id</t>
    <phoneticPr fontId="1" type="noConversion"/>
  </si>
  <si>
    <t>医院标识</t>
    <phoneticPr fontId="1" type="noConversion"/>
  </si>
  <si>
    <t>NUMBER</t>
    <phoneticPr fontId="1" type="noConversion"/>
  </si>
  <si>
    <t>医院名称</t>
    <phoneticPr fontId="1" type="noConversion"/>
  </si>
  <si>
    <t>OID</t>
    <phoneticPr fontId="1" type="noConversion"/>
  </si>
  <si>
    <t>is_outside_hospital</t>
  </si>
  <si>
    <t>是否外院</t>
    <phoneticPr fontId="6" type="noConversion"/>
  </si>
  <si>
    <t>del_flag</t>
    <phoneticPr fontId="1" type="noConversion"/>
  </si>
  <si>
    <t>删除标志</t>
    <phoneticPr fontId="1" type="noConversion"/>
  </si>
  <si>
    <t>科室</t>
    <phoneticPr fontId="1" type="noConversion"/>
  </si>
  <si>
    <t>clinic</t>
    <phoneticPr fontId="1" type="noConversion"/>
  </si>
  <si>
    <t>clinc_id</t>
    <phoneticPr fontId="1" type="noConversion"/>
  </si>
  <si>
    <t>科室标识</t>
  </si>
  <si>
    <t>parent_id</t>
  </si>
  <si>
    <t>上级科室标识</t>
  </si>
  <si>
    <t>clinic</t>
  </si>
  <si>
    <t>科室编码</t>
  </si>
  <si>
    <t>py_code</t>
    <phoneticPr fontId="1" type="noConversion"/>
  </si>
  <si>
    <t>拼音码</t>
    <phoneticPr fontId="1" type="noConversion"/>
  </si>
  <si>
    <t>d_code</t>
    <phoneticPr fontId="1" type="noConversion"/>
  </si>
  <si>
    <t>自定义编码</t>
    <phoneticPr fontId="1" type="noConversion"/>
  </si>
  <si>
    <t>科室名称</t>
    <phoneticPr fontId="1" type="noConversion"/>
  </si>
  <si>
    <t>introduction</t>
    <phoneticPr fontId="1" type="noConversion"/>
  </si>
  <si>
    <t>科室介绍</t>
  </si>
  <si>
    <t>医生</t>
    <phoneticPr fontId="1" type="noConversion"/>
  </si>
  <si>
    <t>doctor</t>
    <phoneticPr fontId="1" type="noConversion"/>
  </si>
  <si>
    <t>doctor_id</t>
    <phoneticPr fontId="1" type="noConversion"/>
  </si>
  <si>
    <t>医生标识</t>
    <phoneticPr fontId="1" type="noConversion"/>
  </si>
  <si>
    <t>doctor</t>
  </si>
  <si>
    <t>clinic_id</t>
    <phoneticPr fontId="1" type="noConversion"/>
  </si>
  <si>
    <t>employee_num</t>
    <phoneticPr fontId="1" type="noConversion"/>
  </si>
  <si>
    <t>工号</t>
    <phoneticPr fontId="1" type="noConversion"/>
  </si>
  <si>
    <t>姓名</t>
  </si>
  <si>
    <t>employee_category</t>
  </si>
  <si>
    <t>职工类别</t>
    <phoneticPr fontId="1" type="noConversion"/>
  </si>
  <si>
    <t>administrative_rank</t>
  </si>
  <si>
    <t>行政职务</t>
  </si>
  <si>
    <t>position</t>
  </si>
  <si>
    <t>医生职位</t>
    <phoneticPr fontId="1" type="noConversion"/>
  </si>
  <si>
    <t>job_title</t>
    <phoneticPr fontId="1" type="noConversion"/>
  </si>
  <si>
    <t>职称</t>
    <phoneticPr fontId="1" type="noConversion"/>
  </si>
  <si>
    <t>specialty</t>
  </si>
  <si>
    <t>专长</t>
  </si>
  <si>
    <t>telephone_number</t>
  </si>
  <si>
    <t>联系电话</t>
    <phoneticPr fontId="6" type="noConversion"/>
  </si>
  <si>
    <t>creator</t>
    <phoneticPr fontId="1" type="noConversion"/>
  </si>
  <si>
    <t>创建者标识</t>
  </si>
  <si>
    <t>create_time</t>
    <phoneticPr fontId="1" type="noConversion"/>
  </si>
  <si>
    <t>创建时间</t>
    <phoneticPr fontId="6" type="noConversion"/>
  </si>
  <si>
    <t>DATE</t>
    <phoneticPr fontId="6" type="noConversion"/>
  </si>
  <si>
    <t>患者</t>
    <phoneticPr fontId="1" type="noConversion"/>
  </si>
  <si>
    <t>patient</t>
    <phoneticPr fontId="1" type="noConversion"/>
  </si>
  <si>
    <t>patient_id</t>
    <phoneticPr fontId="1" type="noConversion"/>
  </si>
  <si>
    <t>患者标识</t>
  </si>
  <si>
    <t>patient</t>
  </si>
  <si>
    <t>patient_his_id</t>
    <phoneticPr fontId="1" type="noConversion"/>
  </si>
  <si>
    <t>患者医院HIS标识</t>
    <phoneticPr fontId="1" type="noConversion"/>
  </si>
  <si>
    <t>health_card_id</t>
  </si>
  <si>
    <t>医保号</t>
  </si>
  <si>
    <t>defray_type</t>
  </si>
  <si>
    <t>费用支付类别</t>
  </si>
  <si>
    <t>gender</t>
  </si>
  <si>
    <t>cert_type</t>
  </si>
  <si>
    <t>证件类别</t>
  </si>
  <si>
    <t>cert_id</t>
    <phoneticPr fontId="1" type="noConversion"/>
  </si>
  <si>
    <t>证件号码</t>
  </si>
  <si>
    <t>unit_name</t>
    <phoneticPr fontId="1" type="noConversion"/>
  </si>
  <si>
    <t>工作单位名称</t>
  </si>
  <si>
    <t>unit_address</t>
  </si>
  <si>
    <t>工作单位地址</t>
  </si>
  <si>
    <t>unit_postcode</t>
  </si>
  <si>
    <t>工作单位邮编</t>
  </si>
  <si>
    <t>unit_telephone</t>
  </si>
  <si>
    <t>工作单位电话</t>
  </si>
  <si>
    <t>hospital_name</t>
    <phoneticPr fontId="1" type="noConversion"/>
  </si>
  <si>
    <t>所在医院</t>
    <phoneticPr fontId="1" type="noConversion"/>
  </si>
  <si>
    <t>VARCHAR2</t>
    <phoneticPr fontId="1" type="noConversion"/>
  </si>
  <si>
    <t>clinic_name</t>
    <phoneticPr fontId="1" type="noConversion"/>
  </si>
  <si>
    <t>所在科室</t>
    <phoneticPr fontId="1" type="noConversion"/>
  </si>
  <si>
    <t>cellphone</t>
  </si>
  <si>
    <t>本人电话号码</t>
  </si>
  <si>
    <t>contact_name</t>
  </si>
  <si>
    <t>联系人姓名</t>
  </si>
  <si>
    <t>contact_telephone</t>
  </si>
  <si>
    <t>联系人电话号码</t>
  </si>
  <si>
    <t>relation_of_patient</t>
  </si>
  <si>
    <t>患者与联系人关系</t>
  </si>
  <si>
    <t>nationality</t>
  </si>
  <si>
    <t>国籍</t>
  </si>
  <si>
    <t>register_place</t>
  </si>
  <si>
    <t>户籍地类别</t>
  </si>
  <si>
    <t>birth_place</t>
  </si>
  <si>
    <t>籍贯</t>
  </si>
  <si>
    <t>ethnic_group</t>
  </si>
  <si>
    <t>民族</t>
  </si>
  <si>
    <t>residence_addr</t>
    <phoneticPr fontId="1" type="noConversion"/>
  </si>
  <si>
    <t>现住址</t>
  </si>
  <si>
    <t>marital_status</t>
  </si>
  <si>
    <t>婚姻状况</t>
  </si>
  <si>
    <t>postcode</t>
  </si>
  <si>
    <t>邮编</t>
  </si>
  <si>
    <t>job_type</t>
  </si>
  <si>
    <t>职业类别</t>
  </si>
  <si>
    <t>abo_blood_type</t>
  </si>
  <si>
    <t>ABO血型</t>
  </si>
  <si>
    <t>rh_blood_type</t>
  </si>
  <si>
    <t>RH血型</t>
    <phoneticPr fontId="1" type="noConversion"/>
  </si>
  <si>
    <t>updater</t>
    <phoneticPr fontId="1" type="noConversion"/>
  </si>
  <si>
    <t>更新者标识</t>
    <phoneticPr fontId="1" type="noConversion"/>
  </si>
  <si>
    <t>update_time</t>
  </si>
  <si>
    <t>更新时间</t>
  </si>
  <si>
    <t>会诊单</t>
    <phoneticPr fontId="1" type="noConversion"/>
  </si>
  <si>
    <t>consultation</t>
    <phoneticPr fontId="1" type="noConversion"/>
  </si>
  <si>
    <t>consultation_id</t>
    <phoneticPr fontId="1" type="noConversion"/>
  </si>
  <si>
    <t>会诊单标识</t>
    <phoneticPr fontId="1" type="noConversion"/>
  </si>
  <si>
    <t>seq_cons_id</t>
    <phoneticPr fontId="1" type="noConversion"/>
  </si>
  <si>
    <t>consultation_code</t>
    <phoneticPr fontId="1" type="noConversion"/>
  </si>
  <si>
    <t>会诊单编码</t>
    <phoneticPr fontId="1" type="noConversion"/>
  </si>
  <si>
    <t>Y</t>
    <phoneticPr fontId="1" type="noConversion"/>
  </si>
  <si>
    <t>process_type_Id</t>
  </si>
  <si>
    <t>会诊申请类型</t>
    <phoneticPr fontId="6" type="noConversion"/>
  </si>
  <si>
    <t>consultation_type</t>
    <phoneticPr fontId="1" type="noConversion"/>
  </si>
  <si>
    <t>会诊类型</t>
    <phoneticPr fontId="6" type="noConversion"/>
  </si>
  <si>
    <t>isurgency</t>
    <phoneticPr fontId="1" type="noConversion"/>
  </si>
  <si>
    <t>紧急标识</t>
    <phoneticPr fontId="1" type="noConversion"/>
  </si>
  <si>
    <t>isafterwards</t>
  </si>
  <si>
    <t>是否补录</t>
    <phoneticPr fontId="6" type="noConversion"/>
  </si>
  <si>
    <t>会诊状态</t>
    <phoneticPr fontId="6" type="noConversion"/>
  </si>
  <si>
    <t>apply_clinic_id</t>
  </si>
  <si>
    <t>申请科室</t>
    <phoneticPr fontId="6" type="noConversion"/>
  </si>
  <si>
    <t>apply_doctor_id</t>
  </si>
  <si>
    <t>申请医生</t>
    <phoneticPr fontId="6" type="noConversion"/>
  </si>
  <si>
    <t>apply_reason</t>
  </si>
  <si>
    <t>会诊申请理由</t>
    <phoneticPr fontId="6" type="noConversion"/>
  </si>
  <si>
    <t>apply_purpose</t>
  </si>
  <si>
    <t>会诊申请目的</t>
    <phoneticPr fontId="6" type="noConversion"/>
  </si>
  <si>
    <t>consultation_place</t>
  </si>
  <si>
    <t>会诊地点</t>
    <phoneticPr fontId="6" type="noConversion"/>
  </si>
  <si>
    <t>book_start_datetime</t>
    <phoneticPr fontId="1" type="noConversion"/>
  </si>
  <si>
    <t>会诊预订开始时间</t>
    <phoneticPr fontId="6" type="noConversion"/>
  </si>
  <si>
    <t>book_end_datetime</t>
    <phoneticPr fontId="1" type="noConversion"/>
  </si>
  <si>
    <t>会诊预订结束时间</t>
    <phoneticPr fontId="6" type="noConversion"/>
  </si>
  <si>
    <t>start_datetime</t>
  </si>
  <si>
    <t>会诊实际开始时间</t>
    <phoneticPr fontId="6" type="noConversion"/>
  </si>
  <si>
    <t>end_datetime</t>
  </si>
  <si>
    <t>会诊实际结束时间</t>
    <phoneticPr fontId="6" type="noConversion"/>
  </si>
  <si>
    <t>患者标识</t>
    <phoneticPr fontId="1" type="noConversion"/>
  </si>
  <si>
    <t>outpatient_number</t>
    <phoneticPr fontId="1" type="noConversion"/>
  </si>
  <si>
    <t>门诊号</t>
    <phoneticPr fontId="1" type="noConversion"/>
  </si>
  <si>
    <t>inpatient_id</t>
    <phoneticPr fontId="1" type="noConversion"/>
  </si>
  <si>
    <t>病案号</t>
    <phoneticPr fontId="6" type="noConversion"/>
  </si>
  <si>
    <t>inpatient_times</t>
  </si>
  <si>
    <t>住院次数</t>
    <phoneticPr fontId="6" type="noConversion"/>
  </si>
  <si>
    <t>bed_no</t>
    <phoneticPr fontId="1" type="noConversion"/>
  </si>
  <si>
    <t>床号</t>
    <phoneticPr fontId="1" type="noConversion"/>
  </si>
  <si>
    <t>room</t>
    <phoneticPr fontId="1" type="noConversion"/>
  </si>
  <si>
    <t>病房</t>
    <phoneticPr fontId="1" type="noConversion"/>
  </si>
  <si>
    <t>ward</t>
    <phoneticPr fontId="1" type="noConversion"/>
  </si>
  <si>
    <t>病区</t>
    <phoneticPr fontId="1" type="noConversion"/>
  </si>
  <si>
    <t>medical_advice_id</t>
  </si>
  <si>
    <t>医嘱号</t>
    <phoneticPr fontId="6" type="noConversion"/>
  </si>
  <si>
    <t>medical_advice_status</t>
  </si>
  <si>
    <t>医嘱状态</t>
    <phoneticPr fontId="6" type="noConversion"/>
  </si>
  <si>
    <t>consultation_fees</t>
  </si>
  <si>
    <t>会诊费额</t>
    <phoneticPr fontId="6" type="noConversion"/>
  </si>
  <si>
    <t>java.math.BigDecimal</t>
    <phoneticPr fontId="1" type="noConversion"/>
  </si>
  <si>
    <t>payment_print_flag</t>
  </si>
  <si>
    <t>是否打印缴费单</t>
    <phoneticPr fontId="6" type="noConversion"/>
  </si>
  <si>
    <t>payment_status</t>
  </si>
  <si>
    <t>缴费状态</t>
    <phoneticPr fontId="6" type="noConversion"/>
  </si>
  <si>
    <t>remarks</t>
    <phoneticPr fontId="1" type="noConversion"/>
  </si>
  <si>
    <t>备注</t>
    <phoneticPr fontId="6" type="noConversion"/>
  </si>
  <si>
    <t>delete_flag</t>
  </si>
  <si>
    <t>删除标记</t>
    <phoneticPr fontId="8"/>
  </si>
  <si>
    <t>delete_reason</t>
  </si>
  <si>
    <t>删除原因</t>
    <phoneticPr fontId="6" type="noConversion"/>
  </si>
  <si>
    <t>update_time</t>
    <phoneticPr fontId="1" type="noConversion"/>
  </si>
  <si>
    <t>更新时间</t>
    <phoneticPr fontId="6" type="noConversion"/>
  </si>
  <si>
    <t>update_count</t>
  </si>
  <si>
    <t>更新次数</t>
    <phoneticPr fontId="6" type="noConversion"/>
  </si>
  <si>
    <t>approval_doctor_id</t>
    <phoneticPr fontId="1" type="noConversion"/>
  </si>
  <si>
    <t>当前待审批者</t>
    <phoneticPr fontId="6" type="noConversion"/>
  </si>
  <si>
    <t>patient_source</t>
    <phoneticPr fontId="1" type="noConversion"/>
  </si>
  <si>
    <t>患者来源</t>
    <phoneticPr fontId="1" type="noConversion"/>
  </si>
  <si>
    <t>会诊意见</t>
  </si>
  <si>
    <t>suggestion</t>
    <phoneticPr fontId="1" type="noConversion"/>
  </si>
  <si>
    <t>suggestion_id</t>
    <phoneticPr fontId="1" type="noConversion"/>
  </si>
  <si>
    <t>会诊意见编号</t>
    <phoneticPr fontId="8"/>
  </si>
  <si>
    <t>seq_sugg_id</t>
    <phoneticPr fontId="1" type="noConversion"/>
  </si>
  <si>
    <t>consultation_id</t>
  </si>
  <si>
    <t>content</t>
    <phoneticPr fontId="1" type="noConversion"/>
  </si>
  <si>
    <t>会诊意见</t>
    <phoneticPr fontId="6" type="noConversion"/>
  </si>
  <si>
    <t>医生会诊意见关联表</t>
  </si>
  <si>
    <t>doctor_suggestion</t>
  </si>
  <si>
    <t>suggestion_id</t>
  </si>
  <si>
    <t>doctor_id</t>
  </si>
  <si>
    <t>会诊医生标识</t>
  </si>
  <si>
    <t>clinic_name</t>
  </si>
  <si>
    <t>科室名称</t>
    <phoneticPr fontId="8"/>
  </si>
  <si>
    <t>doctor_name</t>
  </si>
  <si>
    <t>姓名</t>
    <phoneticPr fontId="6" type="noConversion"/>
  </si>
  <si>
    <t>会诊记录附件</t>
  </si>
  <si>
    <t>attachment</t>
    <phoneticPr fontId="1" type="noConversion"/>
  </si>
  <si>
    <t>file_id</t>
    <phoneticPr fontId="1" type="noConversion"/>
  </si>
  <si>
    <t>文件标识</t>
  </si>
  <si>
    <t>seq_file_id</t>
    <phoneticPr fontId="1" type="noConversion"/>
  </si>
  <si>
    <t>file_name</t>
  </si>
  <si>
    <t>文件名</t>
    <phoneticPr fontId="6" type="noConversion"/>
  </si>
  <si>
    <t>file_type</t>
  </si>
  <si>
    <t>文件类别</t>
    <phoneticPr fontId="6" type="noConversion"/>
  </si>
  <si>
    <t>file_describe</t>
  </si>
  <si>
    <t>文件描述</t>
    <phoneticPr fontId="6" type="noConversion"/>
  </si>
  <si>
    <t>file_size</t>
  </si>
  <si>
    <t>文件大小</t>
    <phoneticPr fontId="6" type="noConversion"/>
  </si>
  <si>
    <t>file_path</t>
  </si>
  <si>
    <t>文件路径</t>
    <phoneticPr fontId="6" type="noConversion"/>
  </si>
  <si>
    <t>流程配置</t>
    <phoneticPr fontId="1" type="noConversion"/>
  </si>
  <si>
    <t>conprocess</t>
    <phoneticPr fontId="1" type="noConversion"/>
  </si>
  <si>
    <t>process_Id</t>
    <phoneticPr fontId="1" type="noConversion"/>
  </si>
  <si>
    <t>流程类型标识</t>
  </si>
  <si>
    <t>流程类型名</t>
    <phoneticPr fontId="1" type="noConversion"/>
  </si>
  <si>
    <t>流程节点</t>
    <phoneticPr fontId="1" type="noConversion"/>
  </si>
  <si>
    <t>activity</t>
    <phoneticPr fontId="1" type="noConversion"/>
  </si>
  <si>
    <t>activity_id</t>
    <phoneticPr fontId="1" type="noConversion"/>
  </si>
  <si>
    <t>流程节点标识</t>
  </si>
  <si>
    <t>activity</t>
  </si>
  <si>
    <t>process_id</t>
    <phoneticPr fontId="1" type="noConversion"/>
  </si>
  <si>
    <t>流程节点名称</t>
    <phoneticPr fontId="1" type="noConversion"/>
  </si>
  <si>
    <t>是否启用</t>
    <phoneticPr fontId="1" type="noConversion"/>
  </si>
  <si>
    <t>send_email</t>
  </si>
  <si>
    <t>是否发邮件</t>
    <phoneticPr fontId="1" type="noConversion"/>
  </si>
  <si>
    <t>send_sms</t>
  </si>
  <si>
    <t>是否发短信</t>
    <phoneticPr fontId="1" type="noConversion"/>
  </si>
  <si>
    <t>会诊审批流程</t>
    <phoneticPr fontId="1" type="noConversion"/>
  </si>
  <si>
    <t>task</t>
    <phoneticPr fontId="6" type="noConversion"/>
  </si>
  <si>
    <t>task_id</t>
    <phoneticPr fontId="6" type="noConversion"/>
  </si>
  <si>
    <t>处理标识</t>
  </si>
  <si>
    <t>TASK_NAME</t>
    <phoneticPr fontId="1" type="noConversion"/>
  </si>
  <si>
    <t>处理名</t>
    <phoneticPr fontId="1" type="noConversion"/>
  </si>
  <si>
    <t>java.lang.String</t>
    <phoneticPr fontId="1" type="noConversion"/>
  </si>
  <si>
    <t>APPROVAL_REASON</t>
    <phoneticPr fontId="1" type="noConversion"/>
  </si>
  <si>
    <t>审批意见</t>
    <phoneticPr fontId="8"/>
  </si>
  <si>
    <t>创建时间</t>
    <phoneticPr fontId="8"/>
  </si>
  <si>
    <t>DATE</t>
    <phoneticPr fontId="8"/>
  </si>
  <si>
    <t>参与会诊科室</t>
  </si>
  <si>
    <t>consultation_clinic</t>
    <phoneticPr fontId="1" type="noConversion"/>
  </si>
  <si>
    <t>consultation_clinic</t>
  </si>
  <si>
    <t>clinic_id</t>
  </si>
  <si>
    <t>会诊科室标识</t>
  </si>
  <si>
    <t>consultation_doctor</t>
  </si>
  <si>
    <t>会诊科室名称</t>
    <phoneticPr fontId="1" type="noConversion"/>
  </si>
  <si>
    <t>参与会诊医生</t>
  </si>
  <si>
    <t>consultation_doctor</t>
    <phoneticPr fontId="1" type="noConversion"/>
  </si>
  <si>
    <t>y</t>
    <phoneticPr fontId="1" type="noConversion"/>
  </si>
  <si>
    <t>doctor_name</t>
    <phoneticPr fontId="1" type="noConversion"/>
  </si>
  <si>
    <t>会诊医生姓名</t>
    <phoneticPr fontId="1" type="noConversion"/>
  </si>
  <si>
    <t>sign_stuts</t>
  </si>
  <si>
    <t>会诊医生签到状态</t>
    <phoneticPr fontId="6" type="noConversion"/>
  </si>
  <si>
    <t>sign_datetime</t>
  </si>
  <si>
    <t>会诊医生签到时间</t>
    <phoneticPr fontId="6" type="noConversion"/>
  </si>
  <si>
    <t>sign_out_datetime</t>
  </si>
  <si>
    <t>会诊医生签退时间</t>
    <phoneticPr fontId="6" type="noConversion"/>
  </si>
  <si>
    <t>absence_reason</t>
  </si>
  <si>
    <t>缺勤原因</t>
    <phoneticPr fontId="6" type="noConversion"/>
  </si>
  <si>
    <t>评价表</t>
    <phoneticPr fontId="1" type="noConversion"/>
  </si>
  <si>
    <t>evaluation</t>
    <phoneticPr fontId="1" type="noConversion"/>
  </si>
  <si>
    <t>evaluation_id</t>
    <phoneticPr fontId="1" type="noConversion"/>
  </si>
  <si>
    <t>评价表标识</t>
    <phoneticPr fontId="1" type="noConversion"/>
  </si>
  <si>
    <t>title</t>
    <phoneticPr fontId="1" type="noConversion"/>
  </si>
  <si>
    <t>评价表标题</t>
    <phoneticPr fontId="6" type="noConversion"/>
  </si>
  <si>
    <t>brief</t>
  </si>
  <si>
    <t>摘要</t>
    <phoneticPr fontId="1" type="noConversion"/>
  </si>
  <si>
    <t>note</t>
    <phoneticPr fontId="1" type="noConversion"/>
  </si>
  <si>
    <t>创建者标识</t>
    <phoneticPr fontId="1" type="noConversion"/>
  </si>
  <si>
    <t>评价条目</t>
    <phoneticPr fontId="1" type="noConversion"/>
  </si>
  <si>
    <t>evaluation_item</t>
    <phoneticPr fontId="1" type="noConversion"/>
  </si>
  <si>
    <t>item_id</t>
    <phoneticPr fontId="1" type="noConversion"/>
  </si>
  <si>
    <t>评价项标识</t>
    <phoneticPr fontId="1" type="noConversion"/>
  </si>
  <si>
    <t>评价项内容</t>
    <phoneticPr fontId="6" type="noConversion"/>
  </si>
  <si>
    <t>评价项目选项</t>
    <phoneticPr fontId="8"/>
  </si>
  <si>
    <t>evaluation_option</t>
    <phoneticPr fontId="1" type="noConversion"/>
  </si>
  <si>
    <t>option_id</t>
    <phoneticPr fontId="1" type="noConversion"/>
  </si>
  <si>
    <t>评价选项标识</t>
    <phoneticPr fontId="1" type="noConversion"/>
  </si>
  <si>
    <t>评价选项内容</t>
    <phoneticPr fontId="6" type="noConversion"/>
  </si>
  <si>
    <t>score</t>
    <phoneticPr fontId="1" type="noConversion"/>
  </si>
  <si>
    <t>评价选项分值</t>
    <phoneticPr fontId="6" type="noConversion"/>
  </si>
  <si>
    <t>会诊评价结果</t>
  </si>
  <si>
    <t>poll</t>
    <phoneticPr fontId="1" type="noConversion"/>
  </si>
  <si>
    <t>poll_id</t>
    <phoneticPr fontId="1" type="noConversion"/>
  </si>
  <si>
    <t>会诊评价单标识</t>
    <phoneticPr fontId="1" type="noConversion"/>
  </si>
  <si>
    <t>poll_clinic_id</t>
    <phoneticPr fontId="1" type="noConversion"/>
  </si>
  <si>
    <t>评价科室标识</t>
    <phoneticPr fontId="1" type="noConversion"/>
  </si>
  <si>
    <t>被评价科室标识</t>
  </si>
  <si>
    <t>评价总分</t>
  </si>
  <si>
    <t>description</t>
    <phoneticPr fontId="1" type="noConversion"/>
  </si>
  <si>
    <t>评价描述</t>
  </si>
  <si>
    <t>评价者标识</t>
    <phoneticPr fontId="1" type="noConversion"/>
  </si>
  <si>
    <t>创建时间</t>
  </si>
  <si>
    <t>会诊评价结果明细</t>
    <phoneticPr fontId="6" type="noConversion"/>
  </si>
  <si>
    <t>poll_item</t>
    <phoneticPr fontId="1" type="noConversion"/>
  </si>
  <si>
    <t>item_score</t>
    <phoneticPr fontId="1" type="noConversion"/>
  </si>
  <si>
    <t>评价项分值</t>
    <phoneticPr fontId="6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</si>
</sst>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3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3" borderId="1" xfId="0" applyFont="1" applyFill="1" applyBorder="1">
      <alignment vertical="center"/>
    </xf>
    <xf numFmtId="0" fontId="4" fillId="3" borderId="1" xfId="1" applyFont="1" applyFill="1" applyBorder="1"/>
    <xf numFmtId="0" fontId="0" fillId="3" borderId="0" xfId="0" applyFill="1">
      <alignment vertical="center"/>
    </xf>
    <xf numFmtId="0" fontId="4" fillId="0" borderId="1" xfId="1" applyFont="1" applyFill="1" applyBorder="1"/>
    <xf numFmtId="0" fontId="4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7" fillId="0" borderId="1" xfId="0" applyNumberFormat="1" applyFont="1" applyFill="1" applyBorder="1" applyAlignment="1" applyProtection="1">
      <alignment horizontal="right"/>
    </xf>
    <xf numFmtId="0" fontId="7" fillId="0" borderId="1" xfId="0" applyNumberFormat="1" applyFont="1" applyFill="1" applyBorder="1" applyAlignment="1" applyProtection="1"/>
    <xf numFmtId="0" fontId="4" fillId="0" borderId="1" xfId="1" applyFont="1" applyFill="1" applyBorder="1" applyAlignment="1">
      <alignment horizontal="center"/>
    </xf>
    <xf numFmtId="0" fontId="4" fillId="3" borderId="1" xfId="1" applyFont="1" applyFill="1" applyBorder="1" applyAlignment="1">
      <alignment horizontal="center"/>
    </xf>
    <xf numFmtId="0" fontId="7" fillId="0" borderId="2" xfId="0" applyNumberFormat="1" applyFont="1" applyFill="1" applyBorder="1" applyAlignment="1" applyProtection="1"/>
    <xf numFmtId="0" fontId="7" fillId="0" borderId="1" xfId="0" quotePrefix="1" applyNumberFormat="1" applyFont="1" applyFill="1" applyBorder="1" applyAlignment="1" applyProtection="1">
      <alignment horizontal="right"/>
    </xf>
    <xf numFmtId="0" fontId="4" fillId="4" borderId="1" xfId="0" applyFont="1" applyFill="1" applyBorder="1">
      <alignment vertical="center"/>
    </xf>
    <xf numFmtId="0" fontId="4" fillId="3" borderId="1" xfId="1" applyFont="1" applyFill="1" applyBorder="1" applyAlignment="1">
      <alignment vertical="center"/>
    </xf>
    <xf numFmtId="0" fontId="4" fillId="3" borderId="1" xfId="0" applyFont="1" applyFill="1" applyBorder="1" applyAlignment="1"/>
    <xf numFmtId="0" fontId="7" fillId="3" borderId="2" xfId="0" applyNumberFormat="1" applyFont="1" applyFill="1" applyBorder="1" applyAlignment="1" applyProtection="1"/>
    <xf numFmtId="0" fontId="7" fillId="3" borderId="1" xfId="0" applyNumberFormat="1" applyFont="1" applyFill="1" applyBorder="1" applyAlignment="1" applyProtection="1"/>
    <xf numFmtId="0" fontId="4" fillId="0" borderId="1" xfId="1" applyFont="1" applyFill="1" applyBorder="1" applyAlignment="1">
      <alignment vertical="center"/>
    </xf>
    <xf numFmtId="0" fontId="4" fillId="0" borderId="1" xfId="0" applyFont="1" applyFill="1" applyBorder="1" applyAlignment="1"/>
    <xf numFmtId="0" fontId="7" fillId="0" borderId="2" xfId="0" applyNumberFormat="1" applyFont="1" applyFill="1" applyBorder="1" applyAlignment="1" applyProtection="1">
      <alignment horizontal="right"/>
    </xf>
    <xf numFmtId="0" fontId="7" fillId="0" borderId="0" xfId="0" applyNumberFormat="1" applyFont="1" applyFill="1" applyBorder="1" applyAlignment="1" applyProtection="1"/>
    <xf numFmtId="0" fontId="7" fillId="3" borderId="1" xfId="0" applyNumberFormat="1" applyFont="1" applyFill="1" applyBorder="1" applyAlignment="1" applyProtection="1">
      <alignment vertical="center"/>
    </xf>
    <xf numFmtId="0" fontId="4" fillId="0" borderId="2" xfId="0" applyFont="1" applyFill="1" applyBorder="1">
      <alignment vertical="center"/>
    </xf>
    <xf numFmtId="0" fontId="7" fillId="0" borderId="3" xfId="0" applyNumberFormat="1" applyFont="1" applyFill="1" applyBorder="1" applyAlignment="1" applyProtection="1"/>
    <xf numFmtId="0" fontId="7" fillId="0" borderId="4" xfId="0" applyNumberFormat="1" applyFont="1" applyFill="1" applyBorder="1" applyAlignment="1" applyProtection="1"/>
    <xf numFmtId="0" fontId="7" fillId="0" borderId="2" xfId="0" quotePrefix="1" applyNumberFormat="1" applyFont="1" applyFill="1" applyBorder="1" applyAlignment="1" applyProtection="1">
      <alignment horizontal="right"/>
    </xf>
    <xf numFmtId="0" fontId="4" fillId="3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4" fillId="0" borderId="5" xfId="0" applyFont="1" applyFill="1" applyBorder="1">
      <alignment vertical="center"/>
    </xf>
    <xf numFmtId="0" fontId="7" fillId="0" borderId="1" xfId="0" applyNumberFormat="1" applyFont="1" applyFill="1" applyBorder="1" applyAlignment="1" applyProtection="1">
      <alignment vertical="center"/>
    </xf>
    <xf numFmtId="0" fontId="7" fillId="3" borderId="0" xfId="0" applyNumberFormat="1" applyFont="1" applyFill="1" applyBorder="1" applyAlignment="1" applyProtection="1">
      <alignment vertical="center"/>
    </xf>
    <xf numFmtId="0" fontId="4" fillId="3" borderId="2" xfId="0" applyFont="1" applyFill="1" applyBorder="1">
      <alignment vertical="center"/>
    </xf>
  </cellXfs>
  <cellStyles count="2">
    <cellStyle name="Normal 2" xfId="1"/>
    <cellStyle name="常规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"/>
  <sheetViews>
    <sheetView tabSelected="1" workbookViewId="0">
      <selection activeCell="E13" sqref="E13"/>
    </sheetView>
  </sheetViews>
  <sheetFormatPr defaultRowHeight="13.5"/>
  <cols>
    <col min="1" max="1" width="8.75" customWidth="1"/>
  </cols>
  <sheetData>
    <row r="2" spans="2:2">
      <c r="B2" t="s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277"/>
  <sheetViews>
    <sheetView workbookViewId="0">
      <selection activeCell="D20" sqref="D20"/>
    </sheetView>
  </sheetViews>
  <sheetFormatPr defaultColWidth="7.875" defaultRowHeight="13.5"/>
  <cols>
    <col min="1" max="1" width="4.5" style="8" bestFit="1" customWidth="1"/>
    <col min="2" max="2" width="9.5" style="8" bestFit="1" customWidth="1"/>
    <col min="3" max="3" width="16.75" style="8" bestFit="1" customWidth="1"/>
    <col min="4" max="4" width="19" style="8" bestFit="1" customWidth="1"/>
    <col min="5" max="5" width="23.875" style="8" bestFit="1" customWidth="1"/>
    <col min="6" max="6" width="17.25" style="8" bestFit="1" customWidth="1"/>
    <col min="7" max="7" width="18.375" style="8" customWidth="1"/>
    <col min="8" max="8" width="8.5" style="8" bestFit="1" customWidth="1"/>
    <col min="9" max="9" width="20" style="8" customWidth="1"/>
    <col min="10" max="10" width="13.375" style="8" customWidth="1"/>
    <col min="11" max="11" width="11.625" style="8" customWidth="1"/>
    <col min="12" max="12" width="6.5" style="8" bestFit="1" customWidth="1"/>
    <col min="13" max="13" width="10.5" style="8" bestFit="1" customWidth="1"/>
    <col min="14" max="14" width="6.5" style="8" bestFit="1" customWidth="1"/>
    <col min="15" max="15" width="17.125" style="8" bestFit="1" customWidth="1"/>
    <col min="16" max="16" width="9.5" style="8" bestFit="1" customWidth="1"/>
    <col min="17" max="17" width="3.5" style="8" bestFit="1" customWidth="1"/>
    <col min="18" max="18" width="8.5" style="8" bestFit="1" customWidth="1"/>
    <col min="19" max="19" width="12.25" style="8" bestFit="1" customWidth="1"/>
    <col min="20" max="20" width="10.25" style="8" bestFit="1" customWidth="1"/>
    <col min="21" max="21" width="5" style="8" bestFit="1" customWidth="1"/>
    <col min="22" max="22" width="18" style="8" bestFit="1" customWidth="1"/>
    <col min="23" max="23" width="8.5" style="8" bestFit="1" customWidth="1"/>
    <col min="24" max="24" width="11.625" style="8" bestFit="1" customWidth="1"/>
    <col min="25" max="25" width="16.125" style="8" bestFit="1" customWidth="1"/>
    <col min="26" max="26" width="12.25" style="8" bestFit="1" customWidth="1"/>
    <col min="27" max="27" width="10.25" style="8" bestFit="1" customWidth="1"/>
    <col min="28" max="28" width="80" style="8" customWidth="1"/>
    <col min="29" max="29" width="78.375" style="8" bestFit="1" customWidth="1"/>
    <col min="30" max="30" width="124.875" style="8" bestFit="1" customWidth="1"/>
    <col min="31" max="31" width="28.25" style="8" bestFit="1" customWidth="1"/>
    <col min="32" max="16384" width="7.875" style="8"/>
  </cols>
  <sheetData>
    <row r="1" spans="1:31" s="2" customFormat="1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</row>
    <row r="2" spans="1:31" s="5" customFormat="1">
      <c r="A2" s="3">
        <v>1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34</v>
      </c>
      <c r="G2" s="4" t="s">
        <v>35</v>
      </c>
      <c r="H2" s="4" t="s">
        <v>36</v>
      </c>
      <c r="I2" s="4" t="s">
        <v>37</v>
      </c>
      <c r="J2" s="4">
        <v>8</v>
      </c>
      <c r="K2" s="4">
        <v>8</v>
      </c>
      <c r="L2" s="4"/>
      <c r="M2" s="4"/>
      <c r="N2" s="4" t="s">
        <v>38</v>
      </c>
      <c r="O2" s="4" t="s">
        <v>39</v>
      </c>
      <c r="P2" s="4" t="s">
        <v>38</v>
      </c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 t="str">
        <f>IF(D1=D2,"","CREATE TABLE "&amp;D2&amp;" (")&amp;E2&amp;" "&amp;H2&amp;IF(K2&lt;&gt;"","("&amp;K2&amp;") ","")&amp;IF(P2="Y"," NOT NULL","")&amp;IF(N2="Y"," PRIMARY KEY","")&amp;IF(D2=D3,"",")")&amp;IF(D2=D3," , ",";")</f>
        <v xml:space="preserve">CREATE TABLE cv_dicmeta (id NUMBER(8)  NOT NULL PRIMARY KEY , </v>
      </c>
      <c r="AC2" s="4" t="str">
        <f t="shared" ref="AC2:AC39" si="0">"COMMENT ON COLUMN "&amp;D2&amp;"."&amp;E2&amp;" IS '"&amp;G2&amp;"';"</f>
        <v>COMMENT ON COLUMN cv_dicmeta.id IS '术语目录标识';</v>
      </c>
      <c r="AD2" s="4" t="str">
        <f>"CREATE SEQUENCE seq_"&amp;D2&amp;" MINVALUE 1 MAXVALUE 9999999999999999999 INCREMENT BY 1 START WITH 1 CACHE 20 NOORDER NOCYCLE ;"</f>
        <v>CREATE SEQUENCE seq_cv_dicmeta MINVALUE 1 MAXVALUE 9999999999999999999 INCREMENT BY 1 START WITH 1 CACHE 20 NOORDER NOCYCLE ;</v>
      </c>
      <c r="AE2" s="5" t="s">
        <v>40</v>
      </c>
    </row>
    <row r="3" spans="1:31" s="5" customFormat="1">
      <c r="A3" s="3">
        <v>2</v>
      </c>
      <c r="B3" s="6" t="s">
        <v>31</v>
      </c>
      <c r="C3" s="6"/>
      <c r="D3" s="6" t="s">
        <v>33</v>
      </c>
      <c r="E3" s="6" t="s">
        <v>41</v>
      </c>
      <c r="F3" t="s">
        <v>42</v>
      </c>
      <c r="G3" t="s">
        <v>43</v>
      </c>
      <c r="H3" t="s">
        <v>36</v>
      </c>
      <c r="I3" s="7" t="s">
        <v>37</v>
      </c>
      <c r="J3">
        <v>8</v>
      </c>
      <c r="K3">
        <v>8</v>
      </c>
      <c r="L3" s="6"/>
      <c r="M3" s="6"/>
      <c r="N3" s="6"/>
      <c r="O3" s="6"/>
      <c r="P3" s="6" t="s">
        <v>38</v>
      </c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 t="str">
        <f t="shared" ref="AB3:AB84" si="1">IF(D2=D3,"","CREATE TABLE "&amp;D3&amp;" (")&amp;E3&amp;" "&amp;H3&amp;IF(K3&lt;&gt;"","("&amp;K3&amp;") ","")&amp;IF(P3="Y"," NOT NULL","")&amp;IF(N3="Y"," PRIMARY KEY","")&amp;IF(D3=D4,"",")")&amp;IF(D3=D4," , ",";")</f>
        <v xml:space="preserve">domain_id NUMBER(8)  NOT NULL , </v>
      </c>
      <c r="AC3" s="6" t="str">
        <f t="shared" si="0"/>
        <v>COMMENT ON COLUMN cv_dicmeta.domain_id IS '域标识';</v>
      </c>
      <c r="AD3" s="6" t="s">
        <v>44</v>
      </c>
      <c r="AE3" s="8" t="s">
        <v>44</v>
      </c>
    </row>
    <row r="4" spans="1:31" s="5" customFormat="1">
      <c r="A4" s="3">
        <v>3</v>
      </c>
      <c r="B4" s="6" t="s">
        <v>31</v>
      </c>
      <c r="C4" s="6"/>
      <c r="D4" s="6" t="s">
        <v>33</v>
      </c>
      <c r="E4" s="6" t="s">
        <v>45</v>
      </c>
      <c r="F4" t="s">
        <v>45</v>
      </c>
      <c r="G4" t="s">
        <v>46</v>
      </c>
      <c r="H4" t="s">
        <v>47</v>
      </c>
      <c r="I4" s="7" t="s">
        <v>48</v>
      </c>
      <c r="J4">
        <v>20</v>
      </c>
      <c r="K4">
        <v>20</v>
      </c>
      <c r="L4" s="6"/>
      <c r="M4" s="6"/>
      <c r="N4" s="6"/>
      <c r="O4" s="6"/>
      <c r="P4" s="6" t="s">
        <v>38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 t="str">
        <f t="shared" si="1"/>
        <v xml:space="preserve">code VARCHAR2(20)  NOT NULL , </v>
      </c>
      <c r="AC4" s="6" t="str">
        <f t="shared" si="0"/>
        <v>COMMENT ON COLUMN cv_dicmeta.code IS '编码';</v>
      </c>
      <c r="AD4" s="6" t="s">
        <v>44</v>
      </c>
      <c r="AE4" s="8" t="s">
        <v>44</v>
      </c>
    </row>
    <row r="5" spans="1:31" s="5" customFormat="1">
      <c r="A5" s="3">
        <v>4</v>
      </c>
      <c r="B5" s="6" t="s">
        <v>31</v>
      </c>
      <c r="C5" s="6"/>
      <c r="D5" s="6" t="s">
        <v>33</v>
      </c>
      <c r="E5" s="7" t="s">
        <v>49</v>
      </c>
      <c r="F5" t="s">
        <v>49</v>
      </c>
      <c r="G5" t="s">
        <v>50</v>
      </c>
      <c r="H5" t="s">
        <v>47</v>
      </c>
      <c r="I5" s="7" t="s">
        <v>48</v>
      </c>
      <c r="J5">
        <v>100</v>
      </c>
      <c r="K5">
        <v>100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 t="str">
        <f t="shared" si="1"/>
        <v xml:space="preserve">name VARCHAR2(100)  , </v>
      </c>
      <c r="AC5" s="6" t="str">
        <f t="shared" si="0"/>
        <v>COMMENT ON COLUMN cv_dicmeta.name IS '名称';</v>
      </c>
      <c r="AD5" s="6" t="s">
        <v>44</v>
      </c>
      <c r="AE5" s="8" t="s">
        <v>44</v>
      </c>
    </row>
    <row r="6" spans="1:31" s="5" customFormat="1">
      <c r="A6" s="3"/>
      <c r="B6" s="6" t="s">
        <v>31</v>
      </c>
      <c r="C6" s="6"/>
      <c r="D6" s="6" t="s">
        <v>33</v>
      </c>
      <c r="E6" s="7" t="s">
        <v>51</v>
      </c>
      <c r="F6" t="s">
        <v>51</v>
      </c>
      <c r="G6" t="s">
        <v>52</v>
      </c>
      <c r="H6" t="s">
        <v>47</v>
      </c>
      <c r="I6" s="7" t="s">
        <v>48</v>
      </c>
      <c r="J6">
        <v>50</v>
      </c>
      <c r="K6">
        <v>50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 t="str">
        <f t="shared" si="1"/>
        <v xml:space="preserve">oid VARCHAR2(50)  , </v>
      </c>
      <c r="AC6" s="6"/>
      <c r="AD6" s="6"/>
      <c r="AE6" s="8"/>
    </row>
    <row r="7" spans="1:31" s="5" customFormat="1">
      <c r="A7" s="3"/>
      <c r="B7" s="6" t="s">
        <v>31</v>
      </c>
      <c r="C7" s="6"/>
      <c r="D7" s="6" t="s">
        <v>33</v>
      </c>
      <c r="E7" s="7" t="s">
        <v>53</v>
      </c>
      <c r="F7" t="s">
        <v>54</v>
      </c>
      <c r="G7" t="s">
        <v>55</v>
      </c>
      <c r="H7" t="s">
        <v>47</v>
      </c>
      <c r="I7" s="7" t="s">
        <v>48</v>
      </c>
      <c r="J7">
        <v>100</v>
      </c>
      <c r="K7">
        <v>100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 t="str">
        <f t="shared" si="1"/>
        <v xml:space="preserve">oid_name VARCHAR2(100)  , </v>
      </c>
      <c r="AC7" s="6"/>
      <c r="AD7" s="6"/>
      <c r="AE7" s="8"/>
    </row>
    <row r="8" spans="1:31" s="5" customFormat="1">
      <c r="A8" s="3"/>
      <c r="B8" s="6" t="s">
        <v>31</v>
      </c>
      <c r="C8" s="6"/>
      <c r="D8" s="6" t="s">
        <v>33</v>
      </c>
      <c r="E8" s="7" t="s">
        <v>56</v>
      </c>
      <c r="F8" t="s">
        <v>57</v>
      </c>
      <c r="G8" t="s">
        <v>35</v>
      </c>
      <c r="H8" t="s">
        <v>36</v>
      </c>
      <c r="I8" s="7" t="s">
        <v>37</v>
      </c>
      <c r="J8">
        <v>1</v>
      </c>
      <c r="K8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 t="str">
        <f t="shared" si="1"/>
        <v xml:space="preserve">is_cv NUMBER , </v>
      </c>
      <c r="AC8" s="6"/>
      <c r="AD8" s="6"/>
      <c r="AE8" s="8"/>
    </row>
    <row r="9" spans="1:31" s="5" customFormat="1">
      <c r="A9" s="3"/>
      <c r="B9" s="6" t="s">
        <v>31</v>
      </c>
      <c r="C9" s="6"/>
      <c r="D9" s="6" t="s">
        <v>33</v>
      </c>
      <c r="E9" s="7" t="s">
        <v>58</v>
      </c>
      <c r="F9" t="s">
        <v>58</v>
      </c>
      <c r="G9" t="s">
        <v>59</v>
      </c>
      <c r="H9" t="s">
        <v>47</v>
      </c>
      <c r="I9" s="7" t="s">
        <v>48</v>
      </c>
      <c r="J9">
        <v>20</v>
      </c>
      <c r="K9">
        <v>20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 t="str">
        <f t="shared" si="1"/>
        <v xml:space="preserve">version VARCHAR2(20)  , </v>
      </c>
      <c r="AC9" s="6"/>
      <c r="AD9" s="6"/>
      <c r="AE9" s="8"/>
    </row>
    <row r="10" spans="1:31" s="5" customFormat="1">
      <c r="A10" s="3">
        <v>5</v>
      </c>
      <c r="B10" s="6" t="s">
        <v>31</v>
      </c>
      <c r="C10" s="6"/>
      <c r="D10" s="6" t="s">
        <v>33</v>
      </c>
      <c r="E10" s="7" t="s">
        <v>60</v>
      </c>
      <c r="F10" t="s">
        <v>60</v>
      </c>
      <c r="G10" t="s">
        <v>61</v>
      </c>
      <c r="H10" t="s">
        <v>36</v>
      </c>
      <c r="I10" s="7" t="s">
        <v>37</v>
      </c>
      <c r="J10">
        <v>1</v>
      </c>
      <c r="K10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 t="str">
        <f t="shared" si="1"/>
        <v>status NUMBER(1) );</v>
      </c>
      <c r="AC10" s="6" t="str">
        <f t="shared" si="0"/>
        <v>COMMENT ON COLUMN cv_dicmeta.status IS '状态';</v>
      </c>
      <c r="AD10" s="6" t="s">
        <v>44</v>
      </c>
      <c r="AE10" s="8" t="s">
        <v>44</v>
      </c>
    </row>
    <row r="11" spans="1:31" s="5" customFormat="1">
      <c r="A11" s="3">
        <v>6</v>
      </c>
      <c r="B11" s="4" t="s">
        <v>31</v>
      </c>
      <c r="C11" s="4" t="s">
        <v>62</v>
      </c>
      <c r="D11" s="4" t="s">
        <v>63</v>
      </c>
      <c r="E11" s="4" t="s">
        <v>34</v>
      </c>
      <c r="F11" s="4" t="s">
        <v>34</v>
      </c>
      <c r="G11" s="4" t="s">
        <v>64</v>
      </c>
      <c r="H11" s="4" t="s">
        <v>36</v>
      </c>
      <c r="I11" s="3" t="s">
        <v>65</v>
      </c>
      <c r="J11" s="3">
        <v>11</v>
      </c>
      <c r="K11" s="3">
        <v>11</v>
      </c>
      <c r="L11" s="4"/>
      <c r="M11" s="4"/>
      <c r="N11" s="4" t="s">
        <v>38</v>
      </c>
      <c r="O11" s="4" t="s">
        <v>66</v>
      </c>
      <c r="P11" s="4" t="s">
        <v>38</v>
      </c>
      <c r="Q11" s="4"/>
      <c r="R11" s="4"/>
      <c r="S11" s="4"/>
      <c r="T11" s="4"/>
      <c r="U11" s="4"/>
      <c r="V11" s="4"/>
      <c r="W11" s="4"/>
      <c r="X11" s="4"/>
      <c r="Y11" s="4"/>
      <c r="Z11" s="4"/>
      <c r="AA11" s="4" t="s">
        <v>67</v>
      </c>
      <c r="AB11" s="4" t="str">
        <f t="shared" si="1"/>
        <v xml:space="preserve">CREATE TABLE cv_dictionary (id NUMBER(11)  NOT NULL PRIMARY KEY , </v>
      </c>
      <c r="AC11" s="4" t="str">
        <f t="shared" si="0"/>
        <v>COMMENT ON COLUMN cv_dictionary.id IS '术语字典标识';</v>
      </c>
      <c r="AD11" s="4" t="str">
        <f>"CREATE SEQUENCE seq_"&amp;D11&amp;" MINVALUE 1 MAXVALUE 9999999999999999999 INCREMENT BY 1 START WITH 1 CACHE 20 NOORDER NOCYCLE ;"</f>
        <v>CREATE SEQUENCE seq_cv_dictionary MINVALUE 1 MAXVALUE 9999999999999999999 INCREMENT BY 1 START WITH 1 CACHE 20 NOORDER NOCYCLE ;</v>
      </c>
      <c r="AE11" s="5" t="s">
        <v>68</v>
      </c>
    </row>
    <row r="12" spans="1:31" s="5" customFormat="1">
      <c r="A12" s="3">
        <v>7</v>
      </c>
      <c r="B12" s="6" t="s">
        <v>31</v>
      </c>
      <c r="C12" s="6"/>
      <c r="D12" s="6" t="s">
        <v>63</v>
      </c>
      <c r="E12" t="s">
        <v>41</v>
      </c>
      <c r="F12" t="s">
        <v>69</v>
      </c>
      <c r="G12" t="s">
        <v>43</v>
      </c>
      <c r="H12" t="s">
        <v>36</v>
      </c>
      <c r="I12" s="7" t="s">
        <v>37</v>
      </c>
      <c r="J12">
        <v>8</v>
      </c>
      <c r="K12">
        <v>8</v>
      </c>
      <c r="L12" s="6"/>
      <c r="M12" s="6"/>
      <c r="N12" s="6"/>
      <c r="O12" s="6"/>
      <c r="P12" s="6" t="s">
        <v>38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 t="str">
        <f t="shared" si="1"/>
        <v xml:space="preserve">domain_id NUMBER(8)  NOT NULL , </v>
      </c>
      <c r="AC12" s="6" t="str">
        <f t="shared" si="0"/>
        <v>COMMENT ON COLUMN cv_dictionary.domain_id IS '域标识';</v>
      </c>
      <c r="AD12" s="6" t="s">
        <v>44</v>
      </c>
      <c r="AE12" s="8" t="s">
        <v>44</v>
      </c>
    </row>
    <row r="13" spans="1:31" s="5" customFormat="1">
      <c r="A13" s="3">
        <v>8</v>
      </c>
      <c r="B13" s="6" t="s">
        <v>31</v>
      </c>
      <c r="C13" s="6"/>
      <c r="D13" s="6" t="s">
        <v>63</v>
      </c>
      <c r="E13" t="s">
        <v>70</v>
      </c>
      <c r="F13" t="s">
        <v>71</v>
      </c>
      <c r="G13" t="s">
        <v>72</v>
      </c>
      <c r="H13" t="s">
        <v>47</v>
      </c>
      <c r="I13" s="7" t="s">
        <v>48</v>
      </c>
      <c r="J13">
        <v>20</v>
      </c>
      <c r="K13">
        <v>20</v>
      </c>
      <c r="L13" s="6"/>
      <c r="M13" s="6"/>
      <c r="N13" s="6"/>
      <c r="O13" s="6"/>
      <c r="P13" s="6" t="s">
        <v>38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 t="str">
        <f t="shared" si="1"/>
        <v xml:space="preserve">cv_dicmeta_code VARCHAR2(20)  NOT NULL , </v>
      </c>
      <c r="AC13" s="6" t="str">
        <f t="shared" si="0"/>
        <v>COMMENT ON COLUMN cv_dictionary.cv_dicmeta_code IS '术语目录编码';</v>
      </c>
      <c r="AD13" s="6" t="s">
        <v>44</v>
      </c>
      <c r="AE13" s="8" t="s">
        <v>44</v>
      </c>
    </row>
    <row r="14" spans="1:31" s="5" customFormat="1">
      <c r="A14" s="3">
        <v>9</v>
      </c>
      <c r="B14" s="6" t="s">
        <v>31</v>
      </c>
      <c r="C14" s="6"/>
      <c r="D14" s="6" t="s">
        <v>63</v>
      </c>
      <c r="E14" t="s">
        <v>45</v>
      </c>
      <c r="F14" t="s">
        <v>45</v>
      </c>
      <c r="G14" t="s">
        <v>73</v>
      </c>
      <c r="H14" t="s">
        <v>47</v>
      </c>
      <c r="I14" s="7" t="s">
        <v>48</v>
      </c>
      <c r="J14">
        <v>20</v>
      </c>
      <c r="K14">
        <v>20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 t="str">
        <f t="shared" si="1"/>
        <v xml:space="preserve">code VARCHAR2(20)  , </v>
      </c>
      <c r="AC14" s="6" t="str">
        <f t="shared" si="0"/>
        <v>COMMENT ON COLUMN cv_dictionary.code IS '术语编码';</v>
      </c>
      <c r="AD14" s="6" t="s">
        <v>44</v>
      </c>
      <c r="AE14" s="8" t="s">
        <v>44</v>
      </c>
    </row>
    <row r="15" spans="1:31" s="5" customFormat="1">
      <c r="A15" s="3">
        <v>10</v>
      </c>
      <c r="B15" s="6" t="s">
        <v>31</v>
      </c>
      <c r="C15" s="6"/>
      <c r="D15" s="6" t="s">
        <v>63</v>
      </c>
      <c r="E15" t="s">
        <v>74</v>
      </c>
      <c r="F15" t="s">
        <v>75</v>
      </c>
      <c r="G15" t="s">
        <v>76</v>
      </c>
      <c r="H15" t="s">
        <v>47</v>
      </c>
      <c r="I15" s="7" t="s">
        <v>48</v>
      </c>
      <c r="J15">
        <v>20</v>
      </c>
      <c r="K15">
        <v>20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 t="str">
        <f t="shared" si="1"/>
        <v xml:space="preserve">d_code VARCHAR2(20)  , </v>
      </c>
      <c r="AC15" s="6" t="str">
        <f t="shared" si="0"/>
        <v>COMMENT ON COLUMN cv_dictionary.d_code IS '自定义编码';</v>
      </c>
      <c r="AD15" s="6" t="s">
        <v>44</v>
      </c>
      <c r="AE15" s="8" t="s">
        <v>44</v>
      </c>
    </row>
    <row r="16" spans="1:31" s="5" customFormat="1">
      <c r="A16" s="3">
        <v>11</v>
      </c>
      <c r="B16" s="6" t="s">
        <v>31</v>
      </c>
      <c r="C16" s="6"/>
      <c r="D16" s="6" t="s">
        <v>63</v>
      </c>
      <c r="E16" t="s">
        <v>49</v>
      </c>
      <c r="F16" t="s">
        <v>49</v>
      </c>
      <c r="G16" t="s">
        <v>50</v>
      </c>
      <c r="H16" t="s">
        <v>47</v>
      </c>
      <c r="I16" s="7" t="s">
        <v>48</v>
      </c>
      <c r="J16">
        <v>60</v>
      </c>
      <c r="K16">
        <v>60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 t="str">
        <f t="shared" si="1"/>
        <v xml:space="preserve">name VARCHAR2(60)  , </v>
      </c>
      <c r="AC16" s="6" t="str">
        <f t="shared" si="0"/>
        <v>COMMENT ON COLUMN cv_dictionary.name IS '名称';</v>
      </c>
      <c r="AD16" s="6" t="s">
        <v>44</v>
      </c>
      <c r="AE16" s="8" t="s">
        <v>44</v>
      </c>
    </row>
    <row r="17" spans="1:31" s="5" customFormat="1">
      <c r="A17" s="3"/>
      <c r="B17" s="6" t="s">
        <v>31</v>
      </c>
      <c r="C17" s="6"/>
      <c r="D17" s="6" t="s">
        <v>63</v>
      </c>
      <c r="E17" t="s">
        <v>77</v>
      </c>
      <c r="F17" t="s">
        <v>78</v>
      </c>
      <c r="G17" t="s">
        <v>79</v>
      </c>
      <c r="H17" t="s">
        <v>47</v>
      </c>
      <c r="I17" s="7" t="s">
        <v>48</v>
      </c>
      <c r="J17">
        <v>20</v>
      </c>
      <c r="K17">
        <v>20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 t="str">
        <f t="shared" si="1"/>
        <v xml:space="preserve">py_code VARCHAR2(20)  , </v>
      </c>
      <c r="AC17" s="6"/>
      <c r="AD17" s="6"/>
      <c r="AE17" s="8"/>
    </row>
    <row r="18" spans="1:31" s="5" customFormat="1">
      <c r="A18" s="3"/>
      <c r="B18" s="6" t="s">
        <v>31</v>
      </c>
      <c r="C18" s="6"/>
      <c r="D18" s="6" t="s">
        <v>63</v>
      </c>
      <c r="E18" t="s">
        <v>80</v>
      </c>
      <c r="F18" t="s">
        <v>81</v>
      </c>
      <c r="G18" t="s">
        <v>82</v>
      </c>
      <c r="H18" t="s">
        <v>47</v>
      </c>
      <c r="I18" s="7" t="s">
        <v>48</v>
      </c>
      <c r="J18">
        <v>20</v>
      </c>
      <c r="K18">
        <v>20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 t="str">
        <f t="shared" si="1"/>
        <v xml:space="preserve">wb_code VARCHAR2(20)  , </v>
      </c>
      <c r="AC18" s="6"/>
      <c r="AD18" s="6"/>
      <c r="AE18" s="8"/>
    </row>
    <row r="19" spans="1:31" s="5" customFormat="1">
      <c r="A19" s="3"/>
      <c r="B19" s="6" t="s">
        <v>31</v>
      </c>
      <c r="C19" s="6"/>
      <c r="D19" s="6" t="s">
        <v>63</v>
      </c>
      <c r="E19" t="s">
        <v>58</v>
      </c>
      <c r="F19" t="s">
        <v>58</v>
      </c>
      <c r="G19" t="s">
        <v>83</v>
      </c>
      <c r="H19" t="s">
        <v>47</v>
      </c>
      <c r="I19" s="7" t="s">
        <v>48</v>
      </c>
      <c r="J19">
        <v>20</v>
      </c>
      <c r="K19">
        <v>20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 t="str">
        <f t="shared" si="1"/>
        <v xml:space="preserve">version VARCHAR2(20)  , </v>
      </c>
      <c r="AC19" s="6"/>
      <c r="AD19" s="6"/>
      <c r="AE19" s="8"/>
    </row>
    <row r="20" spans="1:31" s="5" customFormat="1">
      <c r="A20" s="3"/>
      <c r="B20" s="6" t="s">
        <v>31</v>
      </c>
      <c r="C20" s="6"/>
      <c r="D20" s="6" t="s">
        <v>63</v>
      </c>
      <c r="E20" t="s">
        <v>60</v>
      </c>
      <c r="F20" t="s">
        <v>60</v>
      </c>
      <c r="G20" t="s">
        <v>61</v>
      </c>
      <c r="H20" t="s">
        <v>36</v>
      </c>
      <c r="I20" s="7" t="s">
        <v>37</v>
      </c>
      <c r="J20">
        <v>1</v>
      </c>
      <c r="K20">
        <v>1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 t="str">
        <f t="shared" si="1"/>
        <v xml:space="preserve">status NUMBER(1)  , </v>
      </c>
      <c r="AC20" s="6"/>
      <c r="AD20" s="6"/>
      <c r="AE20" s="8"/>
    </row>
    <row r="21" spans="1:31" s="5" customFormat="1">
      <c r="A21" s="3"/>
      <c r="B21" s="6" t="s">
        <v>31</v>
      </c>
      <c r="C21" s="6"/>
      <c r="D21" s="6" t="s">
        <v>63</v>
      </c>
      <c r="E21" t="s">
        <v>84</v>
      </c>
      <c r="F21" t="s">
        <v>84</v>
      </c>
      <c r="G21" t="s">
        <v>85</v>
      </c>
      <c r="H21" t="s">
        <v>47</v>
      </c>
      <c r="I21" s="7" t="s">
        <v>48</v>
      </c>
      <c r="J21">
        <v>50</v>
      </c>
      <c r="K21">
        <v>50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 t="str">
        <f t="shared" si="1"/>
        <v xml:space="preserve">cs1 VARCHAR2(50)  , </v>
      </c>
      <c r="AC21" s="6"/>
      <c r="AD21" s="6"/>
      <c r="AE21" s="8"/>
    </row>
    <row r="22" spans="1:31" s="5" customFormat="1">
      <c r="A22" s="3"/>
      <c r="B22" s="6" t="s">
        <v>31</v>
      </c>
      <c r="C22" s="6"/>
      <c r="D22" s="6" t="s">
        <v>63</v>
      </c>
      <c r="E22" t="s">
        <v>86</v>
      </c>
      <c r="F22" t="s">
        <v>86</v>
      </c>
      <c r="G22" t="s">
        <v>87</v>
      </c>
      <c r="H22" t="s">
        <v>47</v>
      </c>
      <c r="I22" s="7" t="s">
        <v>48</v>
      </c>
      <c r="J22">
        <v>50</v>
      </c>
      <c r="K22">
        <v>50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 t="str">
        <f t="shared" si="1"/>
        <v xml:space="preserve">cs2 VARCHAR2(50)  , </v>
      </c>
      <c r="AC22" s="6"/>
      <c r="AD22" s="6"/>
      <c r="AE22" s="8"/>
    </row>
    <row r="23" spans="1:31" s="5" customFormat="1">
      <c r="A23" s="3"/>
      <c r="B23" s="6" t="s">
        <v>31</v>
      </c>
      <c r="C23" s="6"/>
      <c r="D23" s="6" t="s">
        <v>63</v>
      </c>
      <c r="E23" t="s">
        <v>88</v>
      </c>
      <c r="F23" t="s">
        <v>88</v>
      </c>
      <c r="G23" t="s">
        <v>89</v>
      </c>
      <c r="H23" t="s">
        <v>47</v>
      </c>
      <c r="I23" s="7" t="s">
        <v>48</v>
      </c>
      <c r="J23">
        <v>50</v>
      </c>
      <c r="K23">
        <v>50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 t="str">
        <f t="shared" si="1"/>
        <v xml:space="preserve">cs3 VARCHAR2(50)  , </v>
      </c>
      <c r="AC23" s="6"/>
      <c r="AD23" s="6"/>
      <c r="AE23" s="8"/>
    </row>
    <row r="24" spans="1:31" s="5" customFormat="1">
      <c r="A24" s="3"/>
      <c r="B24" s="6" t="s">
        <v>31</v>
      </c>
      <c r="C24" s="6"/>
      <c r="D24" s="6" t="s">
        <v>63</v>
      </c>
      <c r="E24" t="s">
        <v>90</v>
      </c>
      <c r="F24" t="s">
        <v>90</v>
      </c>
      <c r="G24" t="s">
        <v>91</v>
      </c>
      <c r="H24" t="s">
        <v>47</v>
      </c>
      <c r="I24" s="7" t="s">
        <v>48</v>
      </c>
      <c r="J24">
        <v>50</v>
      </c>
      <c r="K24">
        <v>50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 t="str">
        <f t="shared" si="1"/>
        <v xml:space="preserve">cs4 VARCHAR2(50)  , </v>
      </c>
      <c r="AC24" s="6"/>
      <c r="AD24" s="6"/>
      <c r="AE24" s="8"/>
    </row>
    <row r="25" spans="1:31" s="5" customFormat="1">
      <c r="A25" s="3"/>
      <c r="B25" s="6" t="s">
        <v>31</v>
      </c>
      <c r="C25" s="6"/>
      <c r="D25" s="6" t="s">
        <v>63</v>
      </c>
      <c r="E25" t="s">
        <v>92</v>
      </c>
      <c r="F25" t="s">
        <v>92</v>
      </c>
      <c r="G25" t="s">
        <v>93</v>
      </c>
      <c r="H25" t="s">
        <v>47</v>
      </c>
      <c r="I25" s="7" t="s">
        <v>48</v>
      </c>
      <c r="J25">
        <v>50</v>
      </c>
      <c r="K25">
        <v>50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 t="str">
        <f t="shared" si="1"/>
        <v xml:space="preserve">cs5 VARCHAR2(50)  , </v>
      </c>
      <c r="AC25" s="6"/>
      <c r="AD25" s="6"/>
      <c r="AE25" s="8"/>
    </row>
    <row r="26" spans="1:31" s="5" customFormat="1">
      <c r="A26" s="3"/>
      <c r="B26" s="6" t="s">
        <v>31</v>
      </c>
      <c r="C26" s="6"/>
      <c r="D26" s="6" t="s">
        <v>63</v>
      </c>
      <c r="E26" t="s">
        <v>94</v>
      </c>
      <c r="F26" t="s">
        <v>94</v>
      </c>
      <c r="G26" t="s">
        <v>95</v>
      </c>
      <c r="H26" t="s">
        <v>36</v>
      </c>
      <c r="I26" s="7" t="s">
        <v>37</v>
      </c>
      <c r="J26">
        <v>8</v>
      </c>
      <c r="K26">
        <v>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 t="str">
        <f t="shared" si="1"/>
        <v xml:space="preserve">cn1 NUMBER(8)  , </v>
      </c>
      <c r="AC26" s="6"/>
      <c r="AD26" s="6"/>
      <c r="AE26" s="8"/>
    </row>
    <row r="27" spans="1:31" s="5" customFormat="1">
      <c r="A27" s="3"/>
      <c r="B27" s="6" t="s">
        <v>31</v>
      </c>
      <c r="C27" s="6"/>
      <c r="D27" s="6" t="s">
        <v>63</v>
      </c>
      <c r="E27" t="s">
        <v>96</v>
      </c>
      <c r="F27" t="s">
        <v>96</v>
      </c>
      <c r="G27" t="s">
        <v>97</v>
      </c>
      <c r="H27" t="s">
        <v>36</v>
      </c>
      <c r="I27" s="7" t="s">
        <v>37</v>
      </c>
      <c r="J27">
        <v>8</v>
      </c>
      <c r="K27">
        <v>8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 t="str">
        <f t="shared" si="1"/>
        <v xml:space="preserve">cn2 NUMBER(8)  , </v>
      </c>
      <c r="AC27" s="6"/>
      <c r="AD27" s="6"/>
      <c r="AE27" s="8"/>
    </row>
    <row r="28" spans="1:31" s="5" customFormat="1">
      <c r="A28" s="3"/>
      <c r="B28" s="6" t="s">
        <v>31</v>
      </c>
      <c r="C28" s="6"/>
      <c r="D28" s="6" t="s">
        <v>63</v>
      </c>
      <c r="E28" t="s">
        <v>98</v>
      </c>
      <c r="F28" t="s">
        <v>98</v>
      </c>
      <c r="G28" t="s">
        <v>99</v>
      </c>
      <c r="H28" t="s">
        <v>36</v>
      </c>
      <c r="I28" s="7" t="s">
        <v>37</v>
      </c>
      <c r="J28">
        <v>8</v>
      </c>
      <c r="K28">
        <v>8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 t="str">
        <f t="shared" si="1"/>
        <v xml:space="preserve">cn3 NUMBER(8)  , </v>
      </c>
      <c r="AC28" s="6"/>
      <c r="AD28" s="6"/>
      <c r="AE28" s="8"/>
    </row>
    <row r="29" spans="1:31" s="5" customFormat="1">
      <c r="A29" s="3"/>
      <c r="B29" s="6" t="s">
        <v>31</v>
      </c>
      <c r="C29" s="6"/>
      <c r="D29" s="6" t="s">
        <v>63</v>
      </c>
      <c r="E29" t="s">
        <v>100</v>
      </c>
      <c r="F29" t="s">
        <v>100</v>
      </c>
      <c r="G29" t="s">
        <v>101</v>
      </c>
      <c r="H29" t="s">
        <v>36</v>
      </c>
      <c r="I29" s="7" t="s">
        <v>37</v>
      </c>
      <c r="J29">
        <v>8</v>
      </c>
      <c r="K29">
        <v>8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 t="str">
        <f t="shared" si="1"/>
        <v xml:space="preserve">cn4 NUMBER(8)  , </v>
      </c>
      <c r="AC29" s="6"/>
      <c r="AD29" s="6"/>
      <c r="AE29" s="8"/>
    </row>
    <row r="30" spans="1:31" s="5" customFormat="1">
      <c r="A30" s="3"/>
      <c r="B30" s="6" t="s">
        <v>31</v>
      </c>
      <c r="C30" s="6"/>
      <c r="D30" s="6" t="s">
        <v>63</v>
      </c>
      <c r="E30" t="s">
        <v>102</v>
      </c>
      <c r="F30" t="s">
        <v>102</v>
      </c>
      <c r="G30" t="s">
        <v>103</v>
      </c>
      <c r="H30" t="s">
        <v>36</v>
      </c>
      <c r="I30" s="7" t="s">
        <v>37</v>
      </c>
      <c r="J30">
        <v>8</v>
      </c>
      <c r="K30">
        <v>8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 t="str">
        <f t="shared" si="1"/>
        <v>cn5 NUMBER(8) );</v>
      </c>
      <c r="AC30" s="6"/>
      <c r="AD30" s="6"/>
      <c r="AE30" s="8"/>
    </row>
    <row r="31" spans="1:31" s="5" customFormat="1">
      <c r="A31" s="3">
        <v>12</v>
      </c>
      <c r="B31" s="4" t="s">
        <v>31</v>
      </c>
      <c r="C31" s="4" t="s">
        <v>104</v>
      </c>
      <c r="D31" s="3" t="s">
        <v>105</v>
      </c>
      <c r="E31" s="3" t="s">
        <v>106</v>
      </c>
      <c r="F31" s="3"/>
      <c r="G31" s="3" t="s">
        <v>107</v>
      </c>
      <c r="H31" s="3" t="s">
        <v>108</v>
      </c>
      <c r="I31" s="3" t="s">
        <v>48</v>
      </c>
      <c r="J31" s="4">
        <v>20</v>
      </c>
      <c r="K31" s="4">
        <v>20</v>
      </c>
      <c r="L31" s="4"/>
      <c r="M31" s="4"/>
      <c r="N31" s="4" t="s">
        <v>38</v>
      </c>
      <c r="O31" s="4"/>
      <c r="P31" s="4" t="s">
        <v>38</v>
      </c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 t="str">
        <f>IF(D16=D31,"","CREATE TABLE "&amp;D31&amp;" (")&amp;E31&amp;" "&amp;H31&amp;IF(K31&lt;&gt;"","("&amp;K31&amp;") ","")&amp;IF(P31="Y"," NOT NULL","")&amp;IF(N31="Y"," PRIMARY KEY","")&amp;IF(D31=D32,"",")")&amp;IF(D31=D32," , ",";")</f>
        <v xml:space="preserve">CREATE TABLE cv_metadata (metadata_id VARCHAR2(20)  NOT NULL PRIMARY KEY , </v>
      </c>
      <c r="AC31" s="4" t="str">
        <f t="shared" si="0"/>
        <v>COMMENT ON COLUMN cv_metadata.metadata_id IS '数据元标识';</v>
      </c>
      <c r="AD31" s="4" t="str">
        <f>"CREATE SEQUENCE seq_"&amp;D31&amp;" MINVALUE 1 MAXVALUE 9999999999999999999 INCREMENT BY 1 START WITH 1 CACHE 20 NOORDER NOCYCLE ;"</f>
        <v>CREATE SEQUENCE seq_cv_metadata MINVALUE 1 MAXVALUE 9999999999999999999 INCREMENT BY 1 START WITH 1 CACHE 20 NOORDER NOCYCLE ;</v>
      </c>
      <c r="AE31" s="5" t="s">
        <v>109</v>
      </c>
    </row>
    <row r="32" spans="1:31" s="5" customFormat="1">
      <c r="A32" s="3">
        <v>13</v>
      </c>
      <c r="B32" s="6" t="s">
        <v>31</v>
      </c>
      <c r="C32" s="6"/>
      <c r="D32" s="7" t="s">
        <v>105</v>
      </c>
      <c r="E32" s="7" t="s">
        <v>49</v>
      </c>
      <c r="F32" s="7"/>
      <c r="G32" s="7" t="s">
        <v>110</v>
      </c>
      <c r="H32" s="6" t="s">
        <v>47</v>
      </c>
      <c r="I32" s="7" t="s">
        <v>48</v>
      </c>
      <c r="J32" s="9">
        <v>20</v>
      </c>
      <c r="K32" s="9">
        <v>60</v>
      </c>
      <c r="L32" s="6"/>
      <c r="M32" s="6"/>
      <c r="N32" s="6"/>
      <c r="O32" s="6"/>
      <c r="P32" s="6" t="s">
        <v>38</v>
      </c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 t="str">
        <f t="shared" si="1"/>
        <v xml:space="preserve">name VARCHAR2(60)  NOT NULL , </v>
      </c>
      <c r="AC32" s="6" t="str">
        <f t="shared" si="0"/>
        <v>COMMENT ON COLUMN cv_metadata.name IS '数据元名称';</v>
      </c>
      <c r="AD32" s="6" t="s">
        <v>44</v>
      </c>
      <c r="AE32" s="8" t="s">
        <v>44</v>
      </c>
    </row>
    <row r="33" spans="1:31" s="5" customFormat="1">
      <c r="A33" s="3">
        <v>14</v>
      </c>
      <c r="B33" s="6" t="s">
        <v>31</v>
      </c>
      <c r="C33" s="6"/>
      <c r="D33" s="7" t="s">
        <v>105</v>
      </c>
      <c r="E33" s="7" t="s">
        <v>111</v>
      </c>
      <c r="F33" s="7"/>
      <c r="G33" s="7" t="s">
        <v>112</v>
      </c>
      <c r="H33" s="6" t="s">
        <v>47</v>
      </c>
      <c r="I33" s="7" t="s">
        <v>48</v>
      </c>
      <c r="J33" s="6">
        <v>100</v>
      </c>
      <c r="K33" s="6">
        <v>100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 t="str">
        <f t="shared" si="1"/>
        <v xml:space="preserve">defination VARCHAR2(100)  , </v>
      </c>
      <c r="AC33" s="6" t="str">
        <f t="shared" si="0"/>
        <v>COMMENT ON COLUMN cv_metadata.defination IS '数据元定义';</v>
      </c>
      <c r="AD33" s="6" t="s">
        <v>44</v>
      </c>
      <c r="AE33" s="8" t="s">
        <v>44</v>
      </c>
    </row>
    <row r="34" spans="1:31" s="5" customFormat="1">
      <c r="A34" s="3">
        <v>15</v>
      </c>
      <c r="B34" s="6" t="s">
        <v>31</v>
      </c>
      <c r="C34" s="6"/>
      <c r="D34" s="7" t="s">
        <v>105</v>
      </c>
      <c r="E34" s="7" t="s">
        <v>113</v>
      </c>
      <c r="F34" s="7"/>
      <c r="G34" s="7" t="s">
        <v>114</v>
      </c>
      <c r="H34" s="6" t="s">
        <v>47</v>
      </c>
      <c r="I34" s="7" t="s">
        <v>48</v>
      </c>
      <c r="J34" s="6">
        <v>20</v>
      </c>
      <c r="K34" s="6">
        <v>20</v>
      </c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 t="str">
        <f t="shared" si="1"/>
        <v xml:space="preserve">java_type VARCHAR2(20)  , </v>
      </c>
      <c r="AC34" s="6" t="str">
        <f t="shared" si="0"/>
        <v>COMMENT ON COLUMN cv_metadata.java_type IS 'Java类型';</v>
      </c>
      <c r="AD34" s="6" t="s">
        <v>44</v>
      </c>
      <c r="AE34" s="8" t="s">
        <v>44</v>
      </c>
    </row>
    <row r="35" spans="1:31" s="5" customFormat="1">
      <c r="A35" s="3">
        <v>16</v>
      </c>
      <c r="B35" s="6" t="s">
        <v>31</v>
      </c>
      <c r="C35" s="6"/>
      <c r="D35" s="7" t="s">
        <v>105</v>
      </c>
      <c r="E35" s="7" t="s">
        <v>115</v>
      </c>
      <c r="F35" s="7"/>
      <c r="G35" s="7" t="s">
        <v>116</v>
      </c>
      <c r="H35" s="6" t="s">
        <v>47</v>
      </c>
      <c r="I35" s="7" t="s">
        <v>48</v>
      </c>
      <c r="J35" s="6">
        <v>10</v>
      </c>
      <c r="K35" s="6">
        <v>10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 t="str">
        <f t="shared" si="1"/>
        <v xml:space="preserve">data_type VARCHAR2(10)  , </v>
      </c>
      <c r="AC35" s="6" t="str">
        <f t="shared" si="0"/>
        <v>COMMENT ON COLUMN cv_metadata.data_type IS '数据元值类型';</v>
      </c>
      <c r="AD35" s="6" t="s">
        <v>44</v>
      </c>
      <c r="AE35" s="8" t="s">
        <v>44</v>
      </c>
    </row>
    <row r="36" spans="1:31" s="5" customFormat="1">
      <c r="A36" s="3">
        <v>17</v>
      </c>
      <c r="B36" s="6" t="s">
        <v>31</v>
      </c>
      <c r="C36" s="6"/>
      <c r="D36" s="7" t="s">
        <v>105</v>
      </c>
      <c r="E36" s="7" t="s">
        <v>117</v>
      </c>
      <c r="F36" s="7"/>
      <c r="G36" s="7" t="s">
        <v>118</v>
      </c>
      <c r="H36" s="6" t="s">
        <v>47</v>
      </c>
      <c r="I36" s="7" t="s">
        <v>48</v>
      </c>
      <c r="J36" s="6">
        <v>10</v>
      </c>
      <c r="K36" s="6">
        <v>10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 t="str">
        <f t="shared" si="1"/>
        <v xml:space="preserve">data_format  VARCHAR2(10)  , </v>
      </c>
      <c r="AC36" s="6" t="str">
        <f t="shared" si="0"/>
        <v>COMMENT ON COLUMN cv_metadata.data_format  IS '数据元表示格式';</v>
      </c>
      <c r="AD36" s="6" t="s">
        <v>44</v>
      </c>
      <c r="AE36" s="8" t="s">
        <v>44</v>
      </c>
    </row>
    <row r="37" spans="1:31" s="5" customFormat="1">
      <c r="A37" s="3">
        <v>18</v>
      </c>
      <c r="B37" s="6" t="s">
        <v>31</v>
      </c>
      <c r="C37" s="6"/>
      <c r="D37" s="7" t="s">
        <v>105</v>
      </c>
      <c r="E37" s="7" t="s">
        <v>119</v>
      </c>
      <c r="F37" s="6"/>
      <c r="G37" s="6" t="s">
        <v>120</v>
      </c>
      <c r="H37" s="6" t="s">
        <v>47</v>
      </c>
      <c r="I37" s="7" t="s">
        <v>48</v>
      </c>
      <c r="J37" s="6">
        <v>10</v>
      </c>
      <c r="K37" s="6">
        <v>10</v>
      </c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 t="str">
        <f t="shared" si="1"/>
        <v xml:space="preserve">hl7_type VARCHAR2(10)  , </v>
      </c>
      <c r="AC37" s="6" t="str">
        <f t="shared" si="0"/>
        <v>COMMENT ON COLUMN cv_metadata.hl7_type IS 'HL7数据类型';</v>
      </c>
      <c r="AD37" s="6" t="s">
        <v>44</v>
      </c>
      <c r="AE37" s="8" t="s">
        <v>44</v>
      </c>
    </row>
    <row r="38" spans="1:31" s="5" customFormat="1">
      <c r="A38" s="3">
        <v>19</v>
      </c>
      <c r="B38" s="6" t="s">
        <v>31</v>
      </c>
      <c r="C38" s="6"/>
      <c r="D38" s="7" t="s">
        <v>105</v>
      </c>
      <c r="E38" s="7" t="s">
        <v>121</v>
      </c>
      <c r="F38" s="7"/>
      <c r="G38" s="7" t="s">
        <v>122</v>
      </c>
      <c r="H38" s="6" t="s">
        <v>47</v>
      </c>
      <c r="I38" s="7" t="s">
        <v>48</v>
      </c>
      <c r="J38" s="6">
        <v>30</v>
      </c>
      <c r="K38" s="6">
        <v>30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 t="str">
        <f t="shared" si="1"/>
        <v xml:space="preserve">option_value VARCHAR2(30)  , </v>
      </c>
      <c r="AC38" s="6" t="str">
        <f t="shared" si="0"/>
        <v>COMMENT ON COLUMN cv_metadata.option_value IS '允许值';</v>
      </c>
      <c r="AD38" s="6" t="s">
        <v>44</v>
      </c>
      <c r="AE38" s="8" t="s">
        <v>44</v>
      </c>
    </row>
    <row r="39" spans="1:31" s="5" customFormat="1">
      <c r="A39" s="3">
        <v>20</v>
      </c>
      <c r="B39" s="6" t="s">
        <v>31</v>
      </c>
      <c r="C39" s="6"/>
      <c r="D39" s="7" t="s">
        <v>105</v>
      </c>
      <c r="E39" s="6" t="s">
        <v>123</v>
      </c>
      <c r="F39" s="7"/>
      <c r="G39" s="6" t="s">
        <v>124</v>
      </c>
      <c r="H39" s="6" t="s">
        <v>36</v>
      </c>
      <c r="I39" s="7" t="s">
        <v>65</v>
      </c>
      <c r="J39" s="7">
        <v>11</v>
      </c>
      <c r="K39" s="7">
        <v>11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 t="str">
        <f t="shared" si="1"/>
        <v>dicmeta_id NUMBER(11) );</v>
      </c>
      <c r="AC39" s="6" t="str">
        <f t="shared" si="0"/>
        <v>COMMENT ON COLUMN cv_metadata.dicmeta_id IS '字典元标识';</v>
      </c>
      <c r="AD39" s="6" t="s">
        <v>44</v>
      </c>
      <c r="AE39" s="8" t="s">
        <v>44</v>
      </c>
    </row>
    <row r="40" spans="1:31" s="5" customFormat="1">
      <c r="A40" s="3">
        <v>21</v>
      </c>
      <c r="B40" s="4" t="s">
        <v>31</v>
      </c>
      <c r="C40" s="3" t="s">
        <v>125</v>
      </c>
      <c r="D40" s="3" t="s">
        <v>126</v>
      </c>
      <c r="E40" s="3" t="s">
        <v>34</v>
      </c>
      <c r="F40" s="3"/>
      <c r="G40" s="3" t="s">
        <v>127</v>
      </c>
      <c r="H40" s="4" t="s">
        <v>36</v>
      </c>
      <c r="I40" s="3" t="s">
        <v>128</v>
      </c>
      <c r="J40" s="3">
        <v>8</v>
      </c>
      <c r="K40" s="3">
        <v>8</v>
      </c>
      <c r="L40" s="4"/>
      <c r="M40" s="4"/>
      <c r="N40" s="4" t="s">
        <v>38</v>
      </c>
      <c r="O40" s="4" t="s">
        <v>129</v>
      </c>
      <c r="P40" s="4" t="s">
        <v>38</v>
      </c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 t="str">
        <f t="shared" si="1"/>
        <v xml:space="preserve">CREATE TABLE cv_act (id NUMBER(8)  NOT NULL PRIMARY KEY , </v>
      </c>
      <c r="AC40" s="4" t="s">
        <v>130</v>
      </c>
      <c r="AD40" s="4" t="str">
        <f>"CREATE SEQUENCE seq_"&amp;D40&amp;" MINVALUE 1 MAXVALUE 9999999999999999999 INCREMENT BY 1 START WITH 1 CACHE 20 NOORDER NOCYCLE ;"</f>
        <v>CREATE SEQUENCE seq_cv_act MINVALUE 1 MAXVALUE 9999999999999999999 INCREMENT BY 1 START WITH 1 CACHE 20 NOORDER NOCYCLE ;</v>
      </c>
      <c r="AE40" s="5" t="s">
        <v>131</v>
      </c>
    </row>
    <row r="41" spans="1:31" s="5" customFormat="1">
      <c r="A41" s="3">
        <v>22</v>
      </c>
      <c r="B41" s="6" t="s">
        <v>31</v>
      </c>
      <c r="C41" s="7"/>
      <c r="D41" s="7" t="s">
        <v>126</v>
      </c>
      <c r="E41" s="7" t="s">
        <v>45</v>
      </c>
      <c r="F41" s="7"/>
      <c r="G41" s="7" t="s">
        <v>132</v>
      </c>
      <c r="H41" s="6" t="s">
        <v>47</v>
      </c>
      <c r="I41" s="7" t="s">
        <v>48</v>
      </c>
      <c r="J41" s="6">
        <v>30</v>
      </c>
      <c r="K41" s="6">
        <v>30</v>
      </c>
      <c r="L41" s="6"/>
      <c r="M41" s="6"/>
      <c r="N41" s="6"/>
      <c r="O41" s="6"/>
      <c r="P41" s="6" t="s">
        <v>38</v>
      </c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 t="str">
        <f t="shared" si="1"/>
        <v xml:space="preserve">code VARCHAR2(30)  NOT NULL , </v>
      </c>
      <c r="AC41" s="6" t="str">
        <f t="shared" ref="AC41:AC48" si="2">"COMMENT ON COLUMN "&amp;D41&amp;"."&amp;E41&amp;" IS '"&amp;G41&amp;"';"</f>
        <v>COMMENT ON COLUMN cv_act.code IS '活动编码';</v>
      </c>
      <c r="AD41" s="6" t="s">
        <v>44</v>
      </c>
      <c r="AE41" s="8" t="s">
        <v>44</v>
      </c>
    </row>
    <row r="42" spans="1:31" s="5" customFormat="1">
      <c r="A42" s="3">
        <v>23</v>
      </c>
      <c r="B42" s="6" t="s">
        <v>31</v>
      </c>
      <c r="C42" s="7"/>
      <c r="D42" s="7" t="s">
        <v>126</v>
      </c>
      <c r="E42" s="7" t="s">
        <v>49</v>
      </c>
      <c r="F42" s="7"/>
      <c r="G42" s="7" t="s">
        <v>133</v>
      </c>
      <c r="H42" s="6" t="s">
        <v>47</v>
      </c>
      <c r="I42" s="7" t="s">
        <v>48</v>
      </c>
      <c r="J42" s="9">
        <v>20</v>
      </c>
      <c r="K42" s="9">
        <v>60</v>
      </c>
      <c r="L42" s="6"/>
      <c r="M42" s="6"/>
      <c r="N42" s="6"/>
      <c r="O42" s="6"/>
      <c r="P42" s="6" t="s">
        <v>38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 t="str">
        <f t="shared" si="1"/>
        <v xml:space="preserve">name VARCHAR2(60)  NOT NULL , </v>
      </c>
      <c r="AC42" s="6" t="str">
        <f t="shared" si="2"/>
        <v>COMMENT ON COLUMN cv_act.name IS '业务活动名称';</v>
      </c>
      <c r="AD42" s="6" t="s">
        <v>44</v>
      </c>
      <c r="AE42" s="8" t="s">
        <v>44</v>
      </c>
    </row>
    <row r="43" spans="1:31" s="5" customFormat="1">
      <c r="A43" s="3">
        <v>24</v>
      </c>
      <c r="B43" s="6" t="s">
        <v>31</v>
      </c>
      <c r="C43" s="7"/>
      <c r="D43" s="7" t="s">
        <v>126</v>
      </c>
      <c r="E43" s="7" t="s">
        <v>134</v>
      </c>
      <c r="F43" s="7"/>
      <c r="G43" s="7" t="s">
        <v>135</v>
      </c>
      <c r="H43" s="6" t="s">
        <v>47</v>
      </c>
      <c r="I43" s="7" t="s">
        <v>48</v>
      </c>
      <c r="J43" s="6">
        <v>50</v>
      </c>
      <c r="K43" s="6">
        <v>50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 t="str">
        <f t="shared" si="1"/>
        <v xml:space="preserve">hl7_domain VARCHAR2(50)  , </v>
      </c>
      <c r="AC43" s="6" t="str">
        <f t="shared" si="2"/>
        <v>COMMENT ON COLUMN cv_act.hl7_domain IS 'HL7通用域';</v>
      </c>
      <c r="AD43" s="6" t="s">
        <v>44</v>
      </c>
      <c r="AE43" s="8" t="s">
        <v>44</v>
      </c>
    </row>
    <row r="44" spans="1:31" s="5" customFormat="1">
      <c r="A44" s="3">
        <v>25</v>
      </c>
      <c r="B44" s="6" t="s">
        <v>31</v>
      </c>
      <c r="C44" s="7"/>
      <c r="D44" s="7" t="s">
        <v>126</v>
      </c>
      <c r="E44" s="7" t="s">
        <v>136</v>
      </c>
      <c r="F44" s="7"/>
      <c r="G44" s="7" t="s">
        <v>137</v>
      </c>
      <c r="H44" s="6" t="s">
        <v>47</v>
      </c>
      <c r="I44" s="7" t="s">
        <v>48</v>
      </c>
      <c r="J44" s="6">
        <v>50</v>
      </c>
      <c r="K44" s="6">
        <v>50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 t="str">
        <f t="shared" si="1"/>
        <v xml:space="preserve">hl7_rim VARCHAR2(50)  , </v>
      </c>
      <c r="AC44" s="6" t="str">
        <f t="shared" si="2"/>
        <v>COMMENT ON COLUMN cv_act.hl7_rim IS 'HL7模型';</v>
      </c>
      <c r="AD44" s="6" t="s">
        <v>44</v>
      </c>
      <c r="AE44" s="8" t="s">
        <v>44</v>
      </c>
    </row>
    <row r="45" spans="1:31" s="5" customFormat="1">
      <c r="A45" s="3">
        <v>26</v>
      </c>
      <c r="B45" s="6" t="s">
        <v>31</v>
      </c>
      <c r="C45" s="7"/>
      <c r="D45" s="7" t="s">
        <v>126</v>
      </c>
      <c r="E45" s="7" t="s">
        <v>138</v>
      </c>
      <c r="F45" s="7"/>
      <c r="G45" s="7" t="s">
        <v>139</v>
      </c>
      <c r="H45" s="7" t="s">
        <v>108</v>
      </c>
      <c r="I45" s="10" t="s">
        <v>48</v>
      </c>
      <c r="J45" s="6">
        <v>50</v>
      </c>
      <c r="K45" s="6">
        <v>50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 t="str">
        <f t="shared" si="1"/>
        <v xml:space="preserve">v3_oid VARCHAR2(50)  , </v>
      </c>
      <c r="AC45" s="6" t="str">
        <f t="shared" si="2"/>
        <v>COMMENT ON COLUMN cv_act.v3_oid IS 'v3 OID';</v>
      </c>
      <c r="AD45" s="6" t="s">
        <v>44</v>
      </c>
      <c r="AE45" s="8" t="s">
        <v>44</v>
      </c>
    </row>
    <row r="46" spans="1:31" s="5" customFormat="1">
      <c r="A46" s="3">
        <v>27</v>
      </c>
      <c r="B46" s="6" t="s">
        <v>31</v>
      </c>
      <c r="C46" s="7"/>
      <c r="D46" s="7" t="s">
        <v>126</v>
      </c>
      <c r="E46" s="7" t="s">
        <v>140</v>
      </c>
      <c r="F46" s="7"/>
      <c r="G46" s="7" t="s">
        <v>141</v>
      </c>
      <c r="H46" s="6" t="s">
        <v>47</v>
      </c>
      <c r="I46" s="7" t="s">
        <v>48</v>
      </c>
      <c r="J46" s="6">
        <v>50</v>
      </c>
      <c r="K46" s="6">
        <v>50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 t="str">
        <f t="shared" si="1"/>
        <v xml:space="preserve">v3_template VARCHAR2(50)  , </v>
      </c>
      <c r="AC46" s="6" t="str">
        <f t="shared" si="2"/>
        <v>COMMENT ON COLUMN cv_act.v3_template IS 'v3模板';</v>
      </c>
      <c r="AD46" s="6" t="s">
        <v>44</v>
      </c>
      <c r="AE46" s="8" t="s">
        <v>44</v>
      </c>
    </row>
    <row r="47" spans="1:31" s="5" customFormat="1">
      <c r="A47" s="3">
        <v>28</v>
      </c>
      <c r="B47" s="6" t="s">
        <v>31</v>
      </c>
      <c r="C47" s="7"/>
      <c r="D47" s="7" t="s">
        <v>126</v>
      </c>
      <c r="E47" s="7" t="s">
        <v>142</v>
      </c>
      <c r="F47" s="7"/>
      <c r="G47" s="7" t="s">
        <v>143</v>
      </c>
      <c r="H47" s="10" t="s">
        <v>108</v>
      </c>
      <c r="I47" s="10" t="s">
        <v>48</v>
      </c>
      <c r="J47" s="6">
        <v>50</v>
      </c>
      <c r="K47" s="6">
        <v>50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 t="str">
        <f t="shared" si="1"/>
        <v xml:space="preserve">cda_oid VARCHAR2(50)  , </v>
      </c>
      <c r="AC47" s="6" t="str">
        <f t="shared" si="2"/>
        <v>COMMENT ON COLUMN cv_act.cda_oid IS 'CDA OID';</v>
      </c>
      <c r="AD47" s="6" t="s">
        <v>44</v>
      </c>
      <c r="AE47" s="8" t="s">
        <v>44</v>
      </c>
    </row>
    <row r="48" spans="1:31" s="5" customFormat="1">
      <c r="A48" s="3">
        <v>29</v>
      </c>
      <c r="B48" s="6" t="s">
        <v>31</v>
      </c>
      <c r="C48" s="7"/>
      <c r="D48" s="7" t="s">
        <v>126</v>
      </c>
      <c r="E48" s="7" t="s">
        <v>144</v>
      </c>
      <c r="F48" s="7"/>
      <c r="G48" s="7" t="s">
        <v>145</v>
      </c>
      <c r="H48" s="6" t="s">
        <v>47</v>
      </c>
      <c r="I48" s="7" t="s">
        <v>48</v>
      </c>
      <c r="J48" s="6">
        <v>50</v>
      </c>
      <c r="K48" s="6">
        <v>50</v>
      </c>
      <c r="L48" s="6"/>
      <c r="M48" s="6"/>
      <c r="N48" s="6"/>
      <c r="O48" s="6"/>
      <c r="P48" s="6"/>
      <c r="Q48" s="6"/>
      <c r="R48" s="11"/>
      <c r="S48" s="6"/>
      <c r="T48" s="6"/>
      <c r="U48" s="6"/>
      <c r="V48" s="6"/>
      <c r="W48" s="6"/>
      <c r="X48" s="6"/>
      <c r="Y48" s="6"/>
      <c r="Z48" s="6"/>
      <c r="AA48" s="6"/>
      <c r="AB48" s="6" t="str">
        <f t="shared" si="1"/>
        <v>cda_template VARCHAR2(50) );</v>
      </c>
      <c r="AC48" s="6" t="str">
        <f t="shared" si="2"/>
        <v>COMMENT ON COLUMN cv_act.cda_template IS 'CDA模板';</v>
      </c>
      <c r="AD48" s="6" t="s">
        <v>44</v>
      </c>
      <c r="AE48" s="8" t="s">
        <v>44</v>
      </c>
    </row>
    <row r="49" spans="1:31" s="5" customFormat="1">
      <c r="A49" s="3">
        <v>30</v>
      </c>
      <c r="B49" s="4" t="s">
        <v>31</v>
      </c>
      <c r="C49" s="3" t="s">
        <v>146</v>
      </c>
      <c r="D49" s="3" t="s">
        <v>147</v>
      </c>
      <c r="E49" s="3" t="s">
        <v>148</v>
      </c>
      <c r="F49" s="3"/>
      <c r="G49" s="3" t="s">
        <v>149</v>
      </c>
      <c r="H49" s="4" t="s">
        <v>36</v>
      </c>
      <c r="I49" s="3" t="s">
        <v>128</v>
      </c>
      <c r="J49" s="3">
        <v>8</v>
      </c>
      <c r="K49" s="3">
        <v>8</v>
      </c>
      <c r="L49" s="4"/>
      <c r="M49" s="4"/>
      <c r="N49" s="4" t="s">
        <v>38</v>
      </c>
      <c r="O49" s="4" t="s">
        <v>150</v>
      </c>
      <c r="P49" s="4" t="s">
        <v>38</v>
      </c>
      <c r="Q49" s="4"/>
      <c r="R49" s="12"/>
      <c r="S49" s="4"/>
      <c r="T49" s="4"/>
      <c r="U49" s="4"/>
      <c r="V49" s="4"/>
      <c r="W49" s="4"/>
      <c r="X49" s="4"/>
      <c r="Y49" s="4"/>
      <c r="Z49" s="4"/>
      <c r="AA49" s="4"/>
      <c r="AB49" s="4" t="str">
        <f t="shared" si="1"/>
        <v xml:space="preserve">CREATE TABLE act_cfg (act_cfg_id NUMBER(8)  NOT NULL PRIMARY KEY , </v>
      </c>
      <c r="AC49" s="4" t="s">
        <v>151</v>
      </c>
      <c r="AD49" s="4" t="str">
        <f>"CREATE SEQUENCE seq_"&amp;D49&amp;" MINVALUE 1 MAXVALUE 9999999999999999999 INCREMENT BY 1 START WITH 1 CACHE 20 NOORDER NOCYCLE ;"</f>
        <v>CREATE SEQUENCE seq_act_cfg MINVALUE 1 MAXVALUE 9999999999999999999 INCREMENT BY 1 START WITH 1 CACHE 20 NOORDER NOCYCLE ;</v>
      </c>
      <c r="AE49" s="5" t="s">
        <v>152</v>
      </c>
    </row>
    <row r="50" spans="1:31" s="5" customFormat="1">
      <c r="A50" s="3">
        <v>31</v>
      </c>
      <c r="B50" s="6" t="s">
        <v>31</v>
      </c>
      <c r="C50" s="7"/>
      <c r="D50" s="7" t="s">
        <v>147</v>
      </c>
      <c r="E50" s="7" t="s">
        <v>153</v>
      </c>
      <c r="F50" s="7"/>
      <c r="G50" s="7" t="s">
        <v>154</v>
      </c>
      <c r="H50" s="6" t="s">
        <v>47</v>
      </c>
      <c r="I50" s="7" t="s">
        <v>48</v>
      </c>
      <c r="J50" s="7">
        <v>20</v>
      </c>
      <c r="K50" s="7">
        <v>60</v>
      </c>
      <c r="L50" s="6"/>
      <c r="M50" s="6"/>
      <c r="N50" s="6"/>
      <c r="O50" s="6"/>
      <c r="P50" s="6" t="s">
        <v>38</v>
      </c>
      <c r="Q50" s="6"/>
      <c r="R50" s="11"/>
      <c r="S50" s="6"/>
      <c r="T50" s="6"/>
      <c r="U50" s="6"/>
      <c r="V50" s="6"/>
      <c r="W50" s="6"/>
      <c r="X50" s="6"/>
      <c r="Y50" s="6"/>
      <c r="Z50" s="6"/>
      <c r="AA50" s="6"/>
      <c r="AB50" s="6" t="str">
        <f t="shared" si="1"/>
        <v xml:space="preserve">act_id VARCHAR2(60)  NOT NULL , </v>
      </c>
      <c r="AC50" s="6" t="str">
        <f t="shared" ref="AC50:AC117" si="3">"COMMENT ON COLUMN "&amp;D50&amp;"."&amp;E50&amp;" IS '"&amp;G50&amp;"';"</f>
        <v>COMMENT ON COLUMN act_cfg.act_id IS '活动名称';</v>
      </c>
      <c r="AD50" s="6" t="s">
        <v>44</v>
      </c>
      <c r="AE50" s="8" t="s">
        <v>44</v>
      </c>
    </row>
    <row r="51" spans="1:31">
      <c r="A51" s="3">
        <v>32</v>
      </c>
      <c r="B51" s="6" t="s">
        <v>31</v>
      </c>
      <c r="C51" s="7"/>
      <c r="D51" s="7" t="s">
        <v>147</v>
      </c>
      <c r="E51" s="7" t="s">
        <v>155</v>
      </c>
      <c r="F51" s="7"/>
      <c r="G51" s="7" t="s">
        <v>110</v>
      </c>
      <c r="H51" s="6" t="s">
        <v>47</v>
      </c>
      <c r="I51" s="7" t="s">
        <v>48</v>
      </c>
      <c r="J51" s="9">
        <v>20</v>
      </c>
      <c r="K51" s="9">
        <v>60</v>
      </c>
      <c r="L51" s="6"/>
      <c r="M51" s="6"/>
      <c r="N51" s="6"/>
      <c r="O51" s="6"/>
      <c r="P51" s="6" t="s">
        <v>38</v>
      </c>
      <c r="Q51" s="6"/>
      <c r="R51" s="11"/>
      <c r="S51" s="6"/>
      <c r="T51" s="6"/>
      <c r="U51" s="6"/>
      <c r="V51" s="6"/>
      <c r="W51" s="6"/>
      <c r="X51" s="6"/>
      <c r="Y51" s="6"/>
      <c r="Z51" s="6"/>
      <c r="AA51" s="6"/>
      <c r="AB51" s="6" t="str">
        <f t="shared" si="1"/>
        <v xml:space="preserve">display_name VARCHAR2(60)  NOT NULL , </v>
      </c>
      <c r="AC51" s="6" t="str">
        <f t="shared" si="3"/>
        <v>COMMENT ON COLUMN act_cfg.display_name IS '数据元名称';</v>
      </c>
      <c r="AD51" s="6" t="s">
        <v>44</v>
      </c>
      <c r="AE51" s="8" t="s">
        <v>44</v>
      </c>
    </row>
    <row r="52" spans="1:31" ht="10.5" customHeight="1">
      <c r="A52" s="3">
        <v>33</v>
      </c>
      <c r="B52" s="6" t="s">
        <v>31</v>
      </c>
      <c r="C52" s="7"/>
      <c r="D52" s="7" t="s">
        <v>147</v>
      </c>
      <c r="E52" s="7" t="s">
        <v>106</v>
      </c>
      <c r="F52" s="7"/>
      <c r="G52" s="7" t="s">
        <v>156</v>
      </c>
      <c r="H52" s="7" t="s">
        <v>108</v>
      </c>
      <c r="I52" s="7" t="s">
        <v>48</v>
      </c>
      <c r="J52" s="6">
        <v>20</v>
      </c>
      <c r="K52" s="6">
        <v>20</v>
      </c>
      <c r="L52" s="6"/>
      <c r="M52" s="6"/>
      <c r="N52" s="6"/>
      <c r="O52" s="6"/>
      <c r="P52" s="6" t="s">
        <v>38</v>
      </c>
      <c r="Q52" s="6"/>
      <c r="R52" s="11"/>
      <c r="S52" s="6"/>
      <c r="T52" s="6"/>
      <c r="U52" s="6"/>
      <c r="V52" s="6"/>
      <c r="W52" s="6"/>
      <c r="X52" s="6"/>
      <c r="Y52" s="6"/>
      <c r="Z52" s="6"/>
      <c r="AA52" s="6"/>
      <c r="AB52" s="6" t="str">
        <f t="shared" si="1"/>
        <v xml:space="preserve">metadata_id VARCHAR2(20)  NOT NULL , </v>
      </c>
      <c r="AC52" s="6" t="str">
        <f t="shared" si="3"/>
        <v>COMMENT ON COLUMN act_cfg.metadata_id IS '数据元标识符';</v>
      </c>
      <c r="AD52" s="6" t="s">
        <v>44</v>
      </c>
      <c r="AE52" s="8" t="s">
        <v>44</v>
      </c>
    </row>
    <row r="53" spans="1:31">
      <c r="A53" s="3">
        <v>34</v>
      </c>
      <c r="B53" s="6" t="s">
        <v>31</v>
      </c>
      <c r="C53" s="7"/>
      <c r="D53" s="7" t="s">
        <v>147</v>
      </c>
      <c r="E53" s="7" t="s">
        <v>157</v>
      </c>
      <c r="F53" s="7"/>
      <c r="G53" s="7" t="s">
        <v>158</v>
      </c>
      <c r="H53" s="6" t="s">
        <v>47</v>
      </c>
      <c r="I53" s="10" t="s">
        <v>48</v>
      </c>
      <c r="J53" s="6">
        <v>30</v>
      </c>
      <c r="K53" s="6">
        <v>30</v>
      </c>
      <c r="L53" s="6"/>
      <c r="M53" s="6"/>
      <c r="N53" s="6"/>
      <c r="O53" s="6"/>
      <c r="P53" s="6" t="s">
        <v>38</v>
      </c>
      <c r="Q53" s="6"/>
      <c r="R53" s="11"/>
      <c r="S53" s="6"/>
      <c r="T53" s="6"/>
      <c r="U53" s="6"/>
      <c r="V53" s="6"/>
      <c r="W53" s="6"/>
      <c r="X53" s="6"/>
      <c r="Y53" s="6"/>
      <c r="Z53" s="6"/>
      <c r="AA53" s="6"/>
      <c r="AB53" s="6" t="str">
        <f t="shared" si="1"/>
        <v xml:space="preserve">table_name VARCHAR2(30)  NOT NULL , </v>
      </c>
      <c r="AC53" s="6" t="str">
        <f t="shared" si="3"/>
        <v>COMMENT ON COLUMN act_cfg.table_name IS '表名';</v>
      </c>
      <c r="AD53" s="6" t="s">
        <v>44</v>
      </c>
      <c r="AE53" s="8" t="s">
        <v>44</v>
      </c>
    </row>
    <row r="54" spans="1:31">
      <c r="A54" s="3">
        <v>35</v>
      </c>
      <c r="B54" s="6" t="s">
        <v>31</v>
      </c>
      <c r="C54" s="7"/>
      <c r="D54" s="7" t="s">
        <v>147</v>
      </c>
      <c r="E54" s="7" t="s">
        <v>159</v>
      </c>
      <c r="F54" s="7"/>
      <c r="G54" s="7" t="s">
        <v>160</v>
      </c>
      <c r="H54" s="6" t="s">
        <v>47</v>
      </c>
      <c r="I54" s="7" t="s">
        <v>48</v>
      </c>
      <c r="J54" s="6">
        <v>30</v>
      </c>
      <c r="K54" s="6">
        <v>30</v>
      </c>
      <c r="L54" s="6"/>
      <c r="M54" s="6"/>
      <c r="N54" s="6"/>
      <c r="O54" s="6"/>
      <c r="P54" s="6" t="s">
        <v>38</v>
      </c>
      <c r="Q54" s="6"/>
      <c r="R54" s="11"/>
      <c r="S54" s="6"/>
      <c r="T54" s="6"/>
      <c r="U54" s="6"/>
      <c r="V54" s="6"/>
      <c r="W54" s="6"/>
      <c r="X54" s="6"/>
      <c r="Y54" s="6"/>
      <c r="Z54" s="6"/>
      <c r="AA54" s="6"/>
      <c r="AB54" s="6" t="str">
        <f t="shared" si="1"/>
        <v xml:space="preserve">column_name VARCHAR2(30)  NOT NULL , </v>
      </c>
      <c r="AC54" s="6" t="str">
        <f t="shared" si="3"/>
        <v>COMMENT ON COLUMN act_cfg.column_name IS '字段名';</v>
      </c>
      <c r="AD54" s="6" t="s">
        <v>44</v>
      </c>
      <c r="AE54" s="8" t="s">
        <v>44</v>
      </c>
    </row>
    <row r="55" spans="1:31">
      <c r="A55" s="3">
        <v>36</v>
      </c>
      <c r="B55" s="6" t="s">
        <v>31</v>
      </c>
      <c r="C55" s="7"/>
      <c r="D55" s="7" t="s">
        <v>147</v>
      </c>
      <c r="E55" s="7" t="s">
        <v>161</v>
      </c>
      <c r="F55" s="7"/>
      <c r="G55" s="7" t="s">
        <v>162</v>
      </c>
      <c r="H55" s="6" t="s">
        <v>47</v>
      </c>
      <c r="I55" s="7" t="s">
        <v>48</v>
      </c>
      <c r="J55" s="6">
        <v>100</v>
      </c>
      <c r="K55" s="6">
        <v>100</v>
      </c>
      <c r="L55" s="6"/>
      <c r="M55" s="6"/>
      <c r="N55" s="6"/>
      <c r="O55" s="6"/>
      <c r="P55" s="6"/>
      <c r="Q55" s="6"/>
      <c r="R55" s="11"/>
      <c r="S55" s="6"/>
      <c r="T55" s="6"/>
      <c r="U55" s="6"/>
      <c r="V55" s="6"/>
      <c r="W55" s="6"/>
      <c r="X55" s="6"/>
      <c r="Y55" s="6"/>
      <c r="Z55" s="6"/>
      <c r="AA55" s="6"/>
      <c r="AB55" s="6" t="str">
        <f t="shared" si="1"/>
        <v xml:space="preserve">cda_section VARCHAR2(100)  , </v>
      </c>
      <c r="AC55" s="6" t="str">
        <f t="shared" si="3"/>
        <v>COMMENT ON COLUMN act_cfg.cda_section IS 'CDA章节';</v>
      </c>
      <c r="AD55" s="6" t="s">
        <v>44</v>
      </c>
      <c r="AE55" s="8" t="s">
        <v>44</v>
      </c>
    </row>
    <row r="56" spans="1:31">
      <c r="A56" s="3">
        <v>37</v>
      </c>
      <c r="B56" s="6" t="s">
        <v>31</v>
      </c>
      <c r="C56" s="7"/>
      <c r="D56" s="7" t="s">
        <v>147</v>
      </c>
      <c r="E56" s="7" t="s">
        <v>163</v>
      </c>
      <c r="F56" s="7"/>
      <c r="G56" s="7" t="s">
        <v>164</v>
      </c>
      <c r="H56" s="6" t="s">
        <v>47</v>
      </c>
      <c r="I56" s="7" t="s">
        <v>48</v>
      </c>
      <c r="J56" s="6">
        <v>50</v>
      </c>
      <c r="K56" s="6">
        <v>50</v>
      </c>
      <c r="L56" s="6"/>
      <c r="M56" s="6"/>
      <c r="N56" s="6"/>
      <c r="O56" s="6"/>
      <c r="P56" s="6"/>
      <c r="Q56" s="6"/>
      <c r="R56" s="11"/>
      <c r="S56" s="6"/>
      <c r="T56" s="6"/>
      <c r="U56" s="6"/>
      <c r="V56" s="6"/>
      <c r="W56" s="6"/>
      <c r="X56" s="6"/>
      <c r="Y56" s="6"/>
      <c r="Z56" s="6"/>
      <c r="AA56" s="6"/>
      <c r="AB56" s="6" t="str">
        <f t="shared" si="1"/>
        <v xml:space="preserve">cda_class VARCHAR2(50)  , </v>
      </c>
      <c r="AC56" s="6" t="str">
        <f t="shared" si="3"/>
        <v>COMMENT ON COLUMN act_cfg.cda_class IS 'CDA类名';</v>
      </c>
      <c r="AD56" s="6" t="s">
        <v>44</v>
      </c>
      <c r="AE56" s="8" t="s">
        <v>44</v>
      </c>
    </row>
    <row r="57" spans="1:31">
      <c r="A57" s="3">
        <v>38</v>
      </c>
      <c r="B57" s="6" t="s">
        <v>31</v>
      </c>
      <c r="C57" s="7"/>
      <c r="D57" s="7" t="s">
        <v>147</v>
      </c>
      <c r="E57" s="7" t="s">
        <v>165</v>
      </c>
      <c r="F57" s="7"/>
      <c r="G57" s="7" t="s">
        <v>166</v>
      </c>
      <c r="H57" s="6" t="s">
        <v>47</v>
      </c>
      <c r="I57" s="7" t="s">
        <v>48</v>
      </c>
      <c r="J57" s="6">
        <v>50</v>
      </c>
      <c r="K57" s="6">
        <v>50</v>
      </c>
      <c r="L57" s="6"/>
      <c r="M57" s="6"/>
      <c r="N57" s="6"/>
      <c r="O57" s="6"/>
      <c r="P57" s="6"/>
      <c r="Q57" s="6"/>
      <c r="R57" s="11"/>
      <c r="S57" s="6"/>
      <c r="T57" s="6"/>
      <c r="U57" s="6"/>
      <c r="V57" s="6"/>
      <c r="W57" s="6"/>
      <c r="X57" s="6"/>
      <c r="Y57" s="6"/>
      <c r="Z57" s="6"/>
      <c r="AA57" s="6"/>
      <c r="AB57" s="6" t="str">
        <f t="shared" si="1"/>
        <v xml:space="preserve">cda_property VARCHAR2(50)  , </v>
      </c>
      <c r="AC57" s="6" t="str">
        <f t="shared" si="3"/>
        <v>COMMENT ON COLUMN act_cfg.cda_property IS 'CDA属性名';</v>
      </c>
      <c r="AD57" s="6" t="s">
        <v>44</v>
      </c>
      <c r="AE57" s="8" t="s">
        <v>44</v>
      </c>
    </row>
    <row r="58" spans="1:31">
      <c r="A58" s="3">
        <v>39</v>
      </c>
      <c r="B58" s="6" t="s">
        <v>31</v>
      </c>
      <c r="C58" s="7"/>
      <c r="D58" s="7" t="s">
        <v>147</v>
      </c>
      <c r="E58" s="6" t="s">
        <v>167</v>
      </c>
      <c r="F58" s="6"/>
      <c r="G58" s="6" t="s">
        <v>168</v>
      </c>
      <c r="H58" s="6" t="s">
        <v>47</v>
      </c>
      <c r="I58" s="7" t="s">
        <v>48</v>
      </c>
      <c r="J58" s="6">
        <v>50</v>
      </c>
      <c r="K58" s="6">
        <v>50</v>
      </c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 t="str">
        <f t="shared" si="1"/>
        <v xml:space="preserve">v3_class VARCHAR2(50)  , </v>
      </c>
      <c r="AC58" s="6" t="str">
        <f t="shared" si="3"/>
        <v>COMMENT ON COLUMN act_cfg.v3_class IS 'V3类名';</v>
      </c>
      <c r="AD58" s="6" t="s">
        <v>44</v>
      </c>
      <c r="AE58" s="8" t="s">
        <v>44</v>
      </c>
    </row>
    <row r="59" spans="1:31">
      <c r="A59" s="3">
        <v>40</v>
      </c>
      <c r="B59" s="6" t="s">
        <v>31</v>
      </c>
      <c r="C59" s="7"/>
      <c r="D59" s="7" t="s">
        <v>147</v>
      </c>
      <c r="E59" s="6" t="s">
        <v>169</v>
      </c>
      <c r="F59" s="6"/>
      <c r="G59" s="6" t="s">
        <v>170</v>
      </c>
      <c r="H59" s="6" t="s">
        <v>47</v>
      </c>
      <c r="I59" s="7" t="s">
        <v>48</v>
      </c>
      <c r="J59" s="6">
        <v>50</v>
      </c>
      <c r="K59" s="6">
        <v>50</v>
      </c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 t="str">
        <f t="shared" si="1"/>
        <v xml:space="preserve">v3_property VARCHAR2(50)  , </v>
      </c>
      <c r="AC59" s="6" t="str">
        <f t="shared" si="3"/>
        <v>COMMENT ON COLUMN act_cfg.v3_property IS 'V3属性名';</v>
      </c>
      <c r="AD59" s="6" t="s">
        <v>44</v>
      </c>
      <c r="AE59" s="8" t="s">
        <v>44</v>
      </c>
    </row>
    <row r="60" spans="1:31">
      <c r="A60" s="3">
        <v>41</v>
      </c>
      <c r="B60" s="6" t="s">
        <v>31</v>
      </c>
      <c r="C60" s="7"/>
      <c r="D60" s="7" t="s">
        <v>147</v>
      </c>
      <c r="E60" s="7" t="s">
        <v>171</v>
      </c>
      <c r="F60" s="7"/>
      <c r="G60" s="7" t="s">
        <v>172</v>
      </c>
      <c r="H60" s="6" t="s">
        <v>47</v>
      </c>
      <c r="I60" s="7" t="s">
        <v>48</v>
      </c>
      <c r="J60" s="6">
        <v>50</v>
      </c>
      <c r="K60" s="6">
        <v>50</v>
      </c>
      <c r="L60" s="6"/>
      <c r="M60" s="6"/>
      <c r="N60" s="6"/>
      <c r="O60" s="6"/>
      <c r="P60" s="6"/>
      <c r="Q60" s="6"/>
      <c r="R60" s="11"/>
      <c r="S60" s="6"/>
      <c r="T60" s="6"/>
      <c r="U60" s="6"/>
      <c r="V60" s="6"/>
      <c r="W60" s="6"/>
      <c r="X60" s="6"/>
      <c r="Y60" s="6"/>
      <c r="Z60" s="6"/>
      <c r="AA60" s="6"/>
      <c r="AB60" s="6" t="str">
        <f t="shared" si="1"/>
        <v>rim_class VARCHAR2(50) );</v>
      </c>
      <c r="AC60" s="6" t="str">
        <f t="shared" si="3"/>
        <v>COMMENT ON COLUMN act_cfg.rim_class IS 'RIM类名';</v>
      </c>
      <c r="AD60" s="6" t="s">
        <v>44</v>
      </c>
      <c r="AE60" s="8" t="s">
        <v>44</v>
      </c>
    </row>
    <row r="61" spans="1:31" s="5" customFormat="1">
      <c r="A61" s="3">
        <v>42</v>
      </c>
      <c r="B61" s="4" t="s">
        <v>173</v>
      </c>
      <c r="C61" s="4" t="s">
        <v>174</v>
      </c>
      <c r="D61" s="3" t="s">
        <v>175</v>
      </c>
      <c r="E61" s="3" t="s">
        <v>34</v>
      </c>
      <c r="F61" s="3"/>
      <c r="G61" s="3" t="s">
        <v>176</v>
      </c>
      <c r="H61" s="3" t="s">
        <v>36</v>
      </c>
      <c r="I61" s="3" t="s">
        <v>177</v>
      </c>
      <c r="J61" s="3">
        <v>11</v>
      </c>
      <c r="K61" s="3">
        <v>11</v>
      </c>
      <c r="L61" s="3"/>
      <c r="M61" s="3"/>
      <c r="N61" s="3" t="s">
        <v>38</v>
      </c>
      <c r="O61" s="3"/>
      <c r="P61" s="3" t="s">
        <v>38</v>
      </c>
      <c r="Q61" s="3"/>
      <c r="R61" s="3"/>
      <c r="S61" s="4"/>
      <c r="T61" s="4"/>
      <c r="U61" s="4"/>
      <c r="V61" s="4"/>
      <c r="W61" s="4"/>
      <c r="X61" s="4"/>
      <c r="Y61" s="4"/>
      <c r="Z61" s="4"/>
      <c r="AA61" s="4"/>
      <c r="AB61" s="4" t="str">
        <f t="shared" si="1"/>
        <v xml:space="preserve">CREATE TABLE user (id NUMBER(11)  NOT NULL PRIMARY KEY , </v>
      </c>
      <c r="AC61" s="4" t="str">
        <f t="shared" si="3"/>
        <v>COMMENT ON COLUMN user.id IS '用户标识';</v>
      </c>
      <c r="AD61" s="4" t="str">
        <f>"CREATE SEQUENCE seq_"&amp;D61&amp;" MINVALUE 1 MAXVALUE 9999999999999999999 INCREMENT BY 1 START WITH 1 CACHE 20 NOORDER NOCYCLE ;"</f>
        <v>CREATE SEQUENCE seq_user MINVALUE 1 MAXVALUE 9999999999999999999 INCREMENT BY 1 START WITH 1 CACHE 20 NOORDER NOCYCLE ;</v>
      </c>
    </row>
    <row r="62" spans="1:31">
      <c r="A62" s="3">
        <v>43</v>
      </c>
      <c r="B62" s="6" t="s">
        <v>173</v>
      </c>
      <c r="C62" s="6"/>
      <c r="D62" s="7" t="s">
        <v>175</v>
      </c>
      <c r="E62" s="7" t="s">
        <v>178</v>
      </c>
      <c r="F62" s="7"/>
      <c r="G62" s="7" t="s">
        <v>179</v>
      </c>
      <c r="H62" s="7" t="s">
        <v>47</v>
      </c>
      <c r="I62" s="7" t="s">
        <v>48</v>
      </c>
      <c r="J62" s="7">
        <v>10</v>
      </c>
      <c r="K62" s="9">
        <v>30</v>
      </c>
      <c r="L62" s="7"/>
      <c r="M62" s="7"/>
      <c r="N62" s="7"/>
      <c r="O62" s="7"/>
      <c r="P62" s="7" t="s">
        <v>38</v>
      </c>
      <c r="Q62" s="7"/>
      <c r="R62" s="7"/>
      <c r="S62" s="6"/>
      <c r="T62" s="6"/>
      <c r="U62" s="6"/>
      <c r="V62" s="6"/>
      <c r="W62" s="6"/>
      <c r="X62" s="6"/>
      <c r="Y62" s="6"/>
      <c r="Z62" s="6"/>
      <c r="AA62" s="6"/>
      <c r="AB62" s="6" t="str">
        <f t="shared" si="1"/>
        <v xml:space="preserve">name VARCHAR2(30)  NOT NULL , </v>
      </c>
      <c r="AC62" s="6" t="str">
        <f t="shared" si="3"/>
        <v>COMMENT ON COLUMN user.name IS '姓名';</v>
      </c>
      <c r="AD62" s="6" t="str">
        <f t="shared" ref="AD62:AD72" si="4">IF(O62&lt;&gt;"","CREATE SEQUENCE "&amp;O62&amp;" MINVALUE 1 MAXVALUE "&amp;IF(K62=5,"99999","9999999999999999999")&amp;" INCREMENT BY 1 START WITH 1 CACHE 20 NOORDER NOCYCLE ;","")</f>
        <v/>
      </c>
    </row>
    <row r="63" spans="1:31">
      <c r="A63" s="3">
        <v>44</v>
      </c>
      <c r="B63" s="6" t="s">
        <v>173</v>
      </c>
      <c r="C63" s="6"/>
      <c r="D63" s="7" t="s">
        <v>175</v>
      </c>
      <c r="E63" s="7" t="s">
        <v>180</v>
      </c>
      <c r="F63" s="7"/>
      <c r="G63" s="7" t="s">
        <v>181</v>
      </c>
      <c r="H63" s="7" t="s">
        <v>47</v>
      </c>
      <c r="I63" s="7" t="s">
        <v>48</v>
      </c>
      <c r="J63" s="7">
        <v>20</v>
      </c>
      <c r="K63" s="7">
        <v>20</v>
      </c>
      <c r="L63" s="7"/>
      <c r="M63" s="7"/>
      <c r="N63" s="7"/>
      <c r="O63" s="7"/>
      <c r="P63" s="7" t="s">
        <v>38</v>
      </c>
      <c r="Q63" s="7"/>
      <c r="R63" s="7"/>
      <c r="S63" s="6"/>
      <c r="T63" s="6"/>
      <c r="U63" s="6"/>
      <c r="V63" s="6"/>
      <c r="W63" s="6"/>
      <c r="X63" s="6"/>
      <c r="Y63" s="6"/>
      <c r="Z63" s="6"/>
      <c r="AA63" s="6"/>
      <c r="AB63" s="6" t="str">
        <f t="shared" si="1"/>
        <v xml:space="preserve">password VARCHAR2(20)  NOT NULL , </v>
      </c>
      <c r="AC63" s="6" t="str">
        <f t="shared" si="3"/>
        <v>COMMENT ON COLUMN user.password IS '登录密码';</v>
      </c>
      <c r="AD63" s="6" t="str">
        <f t="shared" si="4"/>
        <v/>
      </c>
    </row>
    <row r="64" spans="1:31">
      <c r="A64" s="3">
        <v>45</v>
      </c>
      <c r="B64" s="6" t="s">
        <v>173</v>
      </c>
      <c r="C64" s="6"/>
      <c r="D64" s="7" t="s">
        <v>175</v>
      </c>
      <c r="E64" s="7" t="s">
        <v>182</v>
      </c>
      <c r="F64" s="7"/>
      <c r="G64" s="7" t="s">
        <v>183</v>
      </c>
      <c r="H64" s="7" t="s">
        <v>36</v>
      </c>
      <c r="I64" s="7" t="s">
        <v>128</v>
      </c>
      <c r="J64" s="7">
        <v>1</v>
      </c>
      <c r="K64" s="7">
        <v>1</v>
      </c>
      <c r="L64" s="7"/>
      <c r="M64" s="7"/>
      <c r="N64" s="7"/>
      <c r="O64" s="7"/>
      <c r="P64" s="7" t="s">
        <v>38</v>
      </c>
      <c r="Q64" s="7"/>
      <c r="R64" s="7"/>
      <c r="S64" s="6"/>
      <c r="T64" s="6"/>
      <c r="U64" s="6"/>
      <c r="V64" s="6"/>
      <c r="W64" s="6"/>
      <c r="X64" s="6"/>
      <c r="Y64" s="6"/>
      <c r="Z64" s="6"/>
      <c r="AA64" s="6"/>
      <c r="AB64" s="6" t="str">
        <f t="shared" si="1"/>
        <v xml:space="preserve">gender NUMBER(1)  NOT NULL , </v>
      </c>
      <c r="AC64" s="6" t="str">
        <f t="shared" si="3"/>
        <v>COMMENT ON COLUMN user.gender IS '性别';</v>
      </c>
      <c r="AD64" s="6" t="str">
        <f t="shared" si="4"/>
        <v/>
      </c>
    </row>
    <row r="65" spans="1:30">
      <c r="A65" s="3">
        <v>46</v>
      </c>
      <c r="B65" s="6" t="s">
        <v>173</v>
      </c>
      <c r="C65" s="6"/>
      <c r="D65" s="7" t="s">
        <v>175</v>
      </c>
      <c r="E65" s="7" t="s">
        <v>184</v>
      </c>
      <c r="F65" s="7"/>
      <c r="G65" s="7" t="s">
        <v>185</v>
      </c>
      <c r="H65" s="7" t="s">
        <v>186</v>
      </c>
      <c r="I65" s="7" t="s">
        <v>187</v>
      </c>
      <c r="J65" s="7"/>
      <c r="K65" s="7"/>
      <c r="L65" s="7"/>
      <c r="M65" s="7"/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 s="6"/>
      <c r="AB65" s="6" t="str">
        <f t="shared" si="1"/>
        <v xml:space="preserve">birth_date DATE , </v>
      </c>
      <c r="AC65" s="6" t="str">
        <f t="shared" si="3"/>
        <v>COMMENT ON COLUMN user.birth_date IS '出生日期';</v>
      </c>
      <c r="AD65" s="6" t="str">
        <f t="shared" si="4"/>
        <v/>
      </c>
    </row>
    <row r="66" spans="1:30">
      <c r="A66" s="3">
        <v>47</v>
      </c>
      <c r="B66" s="6" t="s">
        <v>173</v>
      </c>
      <c r="C66" s="6"/>
      <c r="D66" s="7" t="s">
        <v>175</v>
      </c>
      <c r="E66" s="7" t="s">
        <v>188</v>
      </c>
      <c r="F66" s="7"/>
      <c r="G66" s="7" t="s">
        <v>189</v>
      </c>
      <c r="H66" s="7" t="s">
        <v>47</v>
      </c>
      <c r="I66" s="7" t="s">
        <v>48</v>
      </c>
      <c r="J66" s="7">
        <v>20</v>
      </c>
      <c r="K66" s="7">
        <v>20</v>
      </c>
      <c r="L66" s="7"/>
      <c r="M66" s="7"/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 s="6"/>
      <c r="AB66" s="6" t="str">
        <f t="shared" si="1"/>
        <v xml:space="preserve">identity_card VARCHAR2(20)  , </v>
      </c>
      <c r="AC66" s="6" t="str">
        <f t="shared" si="3"/>
        <v>COMMENT ON COLUMN user.identity_card IS '身份证号';</v>
      </c>
      <c r="AD66" s="6" t="str">
        <f t="shared" si="4"/>
        <v/>
      </c>
    </row>
    <row r="67" spans="1:30">
      <c r="A67" s="3">
        <v>48</v>
      </c>
      <c r="B67" s="6" t="s">
        <v>173</v>
      </c>
      <c r="C67" s="6"/>
      <c r="D67" s="7" t="s">
        <v>175</v>
      </c>
      <c r="E67" s="7" t="s">
        <v>190</v>
      </c>
      <c r="F67" s="7"/>
      <c r="G67" s="7" t="s">
        <v>191</v>
      </c>
      <c r="H67" s="7" t="s">
        <v>47</v>
      </c>
      <c r="I67" s="7" t="s">
        <v>48</v>
      </c>
      <c r="J67" s="7">
        <v>50</v>
      </c>
      <c r="K67" s="7">
        <v>50</v>
      </c>
      <c r="L67" s="7"/>
      <c r="M67" s="7"/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 s="6"/>
      <c r="AB67" s="6" t="str">
        <f t="shared" si="1"/>
        <v xml:space="preserve">email VARCHAR2(50)  , </v>
      </c>
      <c r="AC67" s="6" t="str">
        <f t="shared" si="3"/>
        <v>COMMENT ON COLUMN user.email IS '电子邮件';</v>
      </c>
      <c r="AD67" s="6" t="str">
        <f t="shared" si="4"/>
        <v/>
      </c>
    </row>
    <row r="68" spans="1:30">
      <c r="A68" s="3">
        <v>49</v>
      </c>
      <c r="B68" s="6" t="s">
        <v>173</v>
      </c>
      <c r="C68" s="6"/>
      <c r="D68" s="7" t="s">
        <v>175</v>
      </c>
      <c r="E68" s="7" t="s">
        <v>192</v>
      </c>
      <c r="F68" s="7"/>
      <c r="G68" s="7" t="s">
        <v>193</v>
      </c>
      <c r="H68" s="7" t="s">
        <v>47</v>
      </c>
      <c r="I68" s="7" t="s">
        <v>48</v>
      </c>
      <c r="J68" s="7">
        <v>50</v>
      </c>
      <c r="K68" s="7">
        <v>50</v>
      </c>
      <c r="L68" s="7"/>
      <c r="M68" s="7"/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 s="6"/>
      <c r="AB68" s="6" t="str">
        <f t="shared" si="1"/>
        <v xml:space="preserve">telephone VARCHAR2(50)  , </v>
      </c>
      <c r="AC68" s="6" t="str">
        <f t="shared" si="3"/>
        <v>COMMENT ON COLUMN user.telephone IS '固定电话';</v>
      </c>
      <c r="AD68" s="6" t="str">
        <f t="shared" si="4"/>
        <v/>
      </c>
    </row>
    <row r="69" spans="1:30">
      <c r="A69" s="3">
        <v>50</v>
      </c>
      <c r="B69" s="6" t="s">
        <v>173</v>
      </c>
      <c r="C69" s="6"/>
      <c r="D69" s="7" t="s">
        <v>175</v>
      </c>
      <c r="E69" s="7" t="s">
        <v>194</v>
      </c>
      <c r="F69" s="7"/>
      <c r="G69" s="7" t="s">
        <v>195</v>
      </c>
      <c r="H69" s="7" t="s">
        <v>47</v>
      </c>
      <c r="I69" s="7" t="s">
        <v>48</v>
      </c>
      <c r="J69" s="7">
        <v>20</v>
      </c>
      <c r="K69" s="7">
        <v>20</v>
      </c>
      <c r="L69" s="7"/>
      <c r="M69" s="7"/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 s="6"/>
      <c r="AB69" s="6" t="str">
        <f t="shared" si="1"/>
        <v xml:space="preserve">mobile VARCHAR2(20)  , </v>
      </c>
      <c r="AC69" s="6" t="str">
        <f t="shared" si="3"/>
        <v>COMMENT ON COLUMN user.mobile IS '手机号码';</v>
      </c>
      <c r="AD69" s="6" t="str">
        <f t="shared" si="4"/>
        <v/>
      </c>
    </row>
    <row r="70" spans="1:30">
      <c r="A70" s="3">
        <v>51</v>
      </c>
      <c r="B70" s="6" t="s">
        <v>173</v>
      </c>
      <c r="C70" s="6"/>
      <c r="D70" s="7" t="s">
        <v>175</v>
      </c>
      <c r="E70" s="7" t="s">
        <v>196</v>
      </c>
      <c r="F70" s="7"/>
      <c r="G70" s="7" t="s">
        <v>197</v>
      </c>
      <c r="H70" s="7" t="s">
        <v>47</v>
      </c>
      <c r="I70" s="7" t="s">
        <v>48</v>
      </c>
      <c r="J70" s="9">
        <v>100</v>
      </c>
      <c r="K70" s="9">
        <v>300</v>
      </c>
      <c r="L70" s="7"/>
      <c r="M70" s="7"/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 s="6"/>
      <c r="AB70" s="6" t="str">
        <f t="shared" si="1"/>
        <v xml:space="preserve">home_addr VARCHAR2(300)  , </v>
      </c>
      <c r="AC70" s="6" t="str">
        <f t="shared" si="3"/>
        <v>COMMENT ON COLUMN user.home_addr IS '家庭住址';</v>
      </c>
      <c r="AD70" s="6" t="str">
        <f t="shared" si="4"/>
        <v/>
      </c>
    </row>
    <row r="71" spans="1:30">
      <c r="A71" s="3">
        <v>52</v>
      </c>
      <c r="B71" s="6" t="s">
        <v>173</v>
      </c>
      <c r="C71" s="6"/>
      <c r="D71" s="7" t="s">
        <v>175</v>
      </c>
      <c r="E71" s="7" t="s">
        <v>198</v>
      </c>
      <c r="F71" s="7"/>
      <c r="G71" s="7" t="s">
        <v>199</v>
      </c>
      <c r="H71" s="7" t="s">
        <v>47</v>
      </c>
      <c r="I71" s="7" t="s">
        <v>48</v>
      </c>
      <c r="J71" s="9">
        <v>200</v>
      </c>
      <c r="K71" s="9">
        <v>600</v>
      </c>
      <c r="L71" s="7"/>
      <c r="M71" s="7"/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 s="6"/>
      <c r="AB71" s="6" t="str">
        <f t="shared" si="1"/>
        <v xml:space="preserve">description VARCHAR2(600)  , </v>
      </c>
      <c r="AC71" s="6" t="str">
        <f t="shared" si="3"/>
        <v>COMMENT ON COLUMN user.description IS '用户描述';</v>
      </c>
      <c r="AD71" s="6" t="str">
        <f t="shared" si="4"/>
        <v/>
      </c>
    </row>
    <row r="72" spans="1:30">
      <c r="A72" s="3">
        <v>53</v>
      </c>
      <c r="B72" s="6" t="s">
        <v>173</v>
      </c>
      <c r="C72" s="6"/>
      <c r="D72" s="7" t="s">
        <v>175</v>
      </c>
      <c r="E72" s="7" t="s">
        <v>200</v>
      </c>
      <c r="F72" s="7"/>
      <c r="G72" s="7" t="s">
        <v>201</v>
      </c>
      <c r="H72" s="7" t="s">
        <v>36</v>
      </c>
      <c r="I72" s="7" t="s">
        <v>128</v>
      </c>
      <c r="J72" s="7">
        <v>1</v>
      </c>
      <c r="K72" s="7">
        <v>1</v>
      </c>
      <c r="L72" s="7"/>
      <c r="M72" s="7"/>
      <c r="N72" s="7"/>
      <c r="O72" s="7"/>
      <c r="P72" s="7" t="s">
        <v>38</v>
      </c>
      <c r="Q72" s="7"/>
      <c r="R72" s="7"/>
      <c r="S72" s="6"/>
      <c r="T72" s="6"/>
      <c r="U72" s="6"/>
      <c r="V72" s="6"/>
      <c r="W72" s="6"/>
      <c r="X72" s="6"/>
      <c r="Y72" s="6"/>
      <c r="Z72" s="6"/>
      <c r="AA72" s="6"/>
      <c r="AB72" s="6" t="str">
        <f t="shared" si="1"/>
        <v>available NUMBER(1)  NOT NULL);</v>
      </c>
      <c r="AC72" s="6" t="str">
        <f t="shared" si="3"/>
        <v>COMMENT ON COLUMN user.available IS '是否可用';</v>
      </c>
      <c r="AD72" s="6" t="str">
        <f t="shared" si="4"/>
        <v/>
      </c>
    </row>
    <row r="73" spans="1:30" s="5" customFormat="1">
      <c r="A73" s="3">
        <v>54</v>
      </c>
      <c r="B73" s="4" t="s">
        <v>173</v>
      </c>
      <c r="C73" s="4" t="s">
        <v>202</v>
      </c>
      <c r="D73" s="3" t="s">
        <v>203</v>
      </c>
      <c r="E73" s="3" t="s">
        <v>34</v>
      </c>
      <c r="F73" s="3"/>
      <c r="G73" s="3" t="s">
        <v>204</v>
      </c>
      <c r="H73" s="3" t="s">
        <v>36</v>
      </c>
      <c r="I73" s="3" t="s">
        <v>128</v>
      </c>
      <c r="J73" s="3">
        <v>8</v>
      </c>
      <c r="K73" s="3">
        <v>8</v>
      </c>
      <c r="L73" s="3"/>
      <c r="M73" s="3"/>
      <c r="N73" s="3" t="s">
        <v>38</v>
      </c>
      <c r="O73" s="3"/>
      <c r="P73" s="3" t="s">
        <v>38</v>
      </c>
      <c r="Q73" s="3"/>
      <c r="R73" s="3"/>
      <c r="S73" s="4"/>
      <c r="T73" s="4"/>
      <c r="U73" s="4"/>
      <c r="V73" s="4"/>
      <c r="W73" s="4"/>
      <c r="X73" s="4"/>
      <c r="Y73" s="4"/>
      <c r="Z73" s="4"/>
      <c r="AA73" s="4"/>
      <c r="AB73" s="4" t="str">
        <f t="shared" si="1"/>
        <v xml:space="preserve">CREATE TABLE role (id NUMBER(8)  NOT NULL PRIMARY KEY , </v>
      </c>
      <c r="AC73" s="4" t="str">
        <f t="shared" si="3"/>
        <v>COMMENT ON COLUMN role.id IS '角色标识';</v>
      </c>
      <c r="AD73" s="4" t="str">
        <f>"CREATE SEQUENCE seq_"&amp;D73&amp;" MINVALUE 1 MAXVALUE 9999999999999999999 INCREMENT BY 1 START WITH 1 CACHE 20 NOORDER NOCYCLE ;"</f>
        <v>CREATE SEQUENCE seq_role MINVALUE 1 MAXVALUE 9999999999999999999 INCREMENT BY 1 START WITH 1 CACHE 20 NOORDER NOCYCLE ;</v>
      </c>
    </row>
    <row r="74" spans="1:30">
      <c r="A74" s="3">
        <v>55</v>
      </c>
      <c r="B74" s="6" t="s">
        <v>173</v>
      </c>
      <c r="C74" s="6"/>
      <c r="D74" s="7" t="s">
        <v>203</v>
      </c>
      <c r="E74" s="7" t="s">
        <v>49</v>
      </c>
      <c r="F74" s="7"/>
      <c r="G74" s="7" t="s">
        <v>205</v>
      </c>
      <c r="H74" s="7" t="s">
        <v>47</v>
      </c>
      <c r="I74" s="7" t="s">
        <v>48</v>
      </c>
      <c r="J74" s="9">
        <v>20</v>
      </c>
      <c r="K74" s="9">
        <v>60</v>
      </c>
      <c r="L74" s="7"/>
      <c r="M74" s="7"/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 s="6"/>
      <c r="AB74" s="6" t="str">
        <f t="shared" si="1"/>
        <v xml:space="preserve">name VARCHAR2(60)  , </v>
      </c>
      <c r="AC74" s="6" t="str">
        <f t="shared" si="3"/>
        <v>COMMENT ON COLUMN role.name IS '角色名称';</v>
      </c>
      <c r="AD74" s="6" t="str">
        <f>IF(O74&lt;&gt;"","CREATE SEQUENCE "&amp;O74&amp;" MINVALUE 1 MAXVALUE "&amp;IF(K74=5,"99999","9999999999999999999")&amp;" INCREMENT BY 1 START WITH 1 CACHE 20 NOORDER NOCYCLE ;","")</f>
        <v/>
      </c>
    </row>
    <row r="75" spans="1:30">
      <c r="A75" s="3">
        <v>56</v>
      </c>
      <c r="B75" s="6" t="s">
        <v>173</v>
      </c>
      <c r="C75" s="6"/>
      <c r="D75" s="7" t="s">
        <v>203</v>
      </c>
      <c r="E75" s="7" t="s">
        <v>198</v>
      </c>
      <c r="F75" s="7"/>
      <c r="G75" s="7" t="s">
        <v>206</v>
      </c>
      <c r="H75" s="7" t="s">
        <v>47</v>
      </c>
      <c r="I75" s="7" t="s">
        <v>48</v>
      </c>
      <c r="J75" s="9">
        <v>200</v>
      </c>
      <c r="K75" s="9">
        <v>600</v>
      </c>
      <c r="L75" s="7"/>
      <c r="M75" s="7"/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 s="6"/>
      <c r="AB75" s="6" t="str">
        <f t="shared" si="1"/>
        <v>description VARCHAR2(600) );</v>
      </c>
      <c r="AC75" s="6" t="str">
        <f t="shared" si="3"/>
        <v>COMMENT ON COLUMN role.description IS '角色描述';</v>
      </c>
      <c r="AD75" s="6" t="str">
        <f>IF(O75&lt;&gt;"","CREATE SEQUENCE "&amp;O75&amp;" MINVALUE 1 MAXVALUE "&amp;IF(K75=5,"99999","9999999999999999999")&amp;" INCREMENT BY 1 START WITH 1 CACHE 20 NOORDER NOCYCLE ;","")</f>
        <v/>
      </c>
    </row>
    <row r="76" spans="1:30" s="5" customFormat="1">
      <c r="A76" s="3">
        <v>57</v>
      </c>
      <c r="B76" s="4" t="s">
        <v>173</v>
      </c>
      <c r="C76" s="4" t="s">
        <v>207</v>
      </c>
      <c r="D76" s="3" t="s">
        <v>208</v>
      </c>
      <c r="E76" s="3" t="s">
        <v>209</v>
      </c>
      <c r="F76" s="3"/>
      <c r="G76" s="3" t="s">
        <v>176</v>
      </c>
      <c r="H76" s="3" t="s">
        <v>36</v>
      </c>
      <c r="I76" s="3" t="s">
        <v>177</v>
      </c>
      <c r="J76" s="3">
        <v>11</v>
      </c>
      <c r="K76" s="3">
        <v>11</v>
      </c>
      <c r="L76" s="3"/>
      <c r="M76" s="3"/>
      <c r="N76" s="3"/>
      <c r="O76" s="3"/>
      <c r="P76" s="3"/>
      <c r="Q76" s="3"/>
      <c r="R76" s="3"/>
      <c r="S76" s="4"/>
      <c r="T76" s="4"/>
      <c r="U76" s="4"/>
      <c r="V76" s="4"/>
      <c r="W76" s="4"/>
      <c r="X76" s="4"/>
      <c r="Y76" s="4"/>
      <c r="Z76" s="4"/>
      <c r="AA76" s="4"/>
      <c r="AB76" s="4" t="str">
        <f t="shared" si="1"/>
        <v xml:space="preserve">CREATE TABLE user_role (user_id NUMBER(11)  , </v>
      </c>
      <c r="AC76" s="4" t="str">
        <f t="shared" si="3"/>
        <v>COMMENT ON COLUMN user_role.user_id IS '用户标识';</v>
      </c>
      <c r="AD76" s="4" t="str">
        <f>"CREATE SEQUENCE seq_"&amp;D76&amp;" MINVALUE 1 MAXVALUE 9999999999999999999 INCREMENT BY 1 START WITH 1 CACHE 20 NOORDER NOCYCLE ;"</f>
        <v>CREATE SEQUENCE seq_user_role MINVALUE 1 MAXVALUE 9999999999999999999 INCREMENT BY 1 START WITH 1 CACHE 20 NOORDER NOCYCLE ;</v>
      </c>
    </row>
    <row r="77" spans="1:30">
      <c r="A77" s="3">
        <v>58</v>
      </c>
      <c r="B77" s="6" t="s">
        <v>173</v>
      </c>
      <c r="C77" s="6"/>
      <c r="D77" s="7" t="s">
        <v>208</v>
      </c>
      <c r="E77" s="7" t="s">
        <v>210</v>
      </c>
      <c r="F77" s="7"/>
      <c r="G77" s="7" t="s">
        <v>204</v>
      </c>
      <c r="H77" s="7" t="s">
        <v>36</v>
      </c>
      <c r="I77" s="7" t="s">
        <v>128</v>
      </c>
      <c r="J77" s="7">
        <v>8</v>
      </c>
      <c r="K77" s="7">
        <v>8</v>
      </c>
      <c r="L77" s="7"/>
      <c r="M77" s="7"/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 s="6"/>
      <c r="AB77" s="6" t="str">
        <f t="shared" si="1"/>
        <v>role_id NUMBER(8) );</v>
      </c>
      <c r="AC77" s="6" t="str">
        <f t="shared" si="3"/>
        <v>COMMENT ON COLUMN user_role.role_id IS '角色标识';</v>
      </c>
      <c r="AD77" s="6" t="str">
        <f>IF(O77&lt;&gt;"","CREATE SEQUENCE "&amp;O77&amp;" MINVALUE 1 MAXVALUE "&amp;IF(K77=5,"99999","9999999999999999999")&amp;" INCREMENT BY 1 START WITH 1 CACHE 20 NOORDER NOCYCLE ;","")</f>
        <v/>
      </c>
    </row>
    <row r="78" spans="1:30" s="5" customFormat="1">
      <c r="A78" s="3">
        <v>59</v>
      </c>
      <c r="B78" s="4" t="s">
        <v>173</v>
      </c>
      <c r="C78" s="4" t="s">
        <v>211</v>
      </c>
      <c r="D78" s="3" t="s">
        <v>212</v>
      </c>
      <c r="E78" s="3" t="s">
        <v>34</v>
      </c>
      <c r="F78" s="3"/>
      <c r="G78" s="3" t="s">
        <v>213</v>
      </c>
      <c r="H78" s="3" t="s">
        <v>36</v>
      </c>
      <c r="I78" s="3" t="s">
        <v>128</v>
      </c>
      <c r="J78" s="3">
        <v>8</v>
      </c>
      <c r="K78" s="3">
        <v>8</v>
      </c>
      <c r="L78" s="3"/>
      <c r="M78" s="3"/>
      <c r="N78" s="3" t="s">
        <v>38</v>
      </c>
      <c r="O78" s="3"/>
      <c r="P78" s="3" t="s">
        <v>38</v>
      </c>
      <c r="Q78" s="3"/>
      <c r="R78" s="3"/>
      <c r="S78" s="4"/>
      <c r="T78" s="4"/>
      <c r="U78" s="4"/>
      <c r="V78" s="4"/>
      <c r="W78" s="4"/>
      <c r="X78" s="4"/>
      <c r="Y78" s="4"/>
      <c r="Z78" s="4"/>
      <c r="AA78" s="4"/>
      <c r="AB78" s="4" t="str">
        <f t="shared" si="1"/>
        <v xml:space="preserve">CREATE TABLE access (id NUMBER(8)  NOT NULL PRIMARY KEY , </v>
      </c>
      <c r="AC78" s="4" t="str">
        <f t="shared" si="3"/>
        <v>COMMENT ON COLUMN access.id IS '权限标识';</v>
      </c>
      <c r="AD78" s="4" t="str">
        <f>"CREATE SEQUENCE seq_"&amp;D78&amp;" MINVALUE 1 MAXVALUE 9999999999999999999 INCREMENT BY 1 START WITH 1 CACHE 20 NOORDER NOCYCLE ;"</f>
        <v>CREATE SEQUENCE seq_access MINVALUE 1 MAXVALUE 9999999999999999999 INCREMENT BY 1 START WITH 1 CACHE 20 NOORDER NOCYCLE ;</v>
      </c>
    </row>
    <row r="79" spans="1:30">
      <c r="A79" s="3">
        <v>60</v>
      </c>
      <c r="B79" s="6" t="s">
        <v>173</v>
      </c>
      <c r="C79" s="6"/>
      <c r="D79" s="7" t="s">
        <v>212</v>
      </c>
      <c r="E79" s="7" t="s">
        <v>214</v>
      </c>
      <c r="F79" s="7"/>
      <c r="G79" s="7" t="s">
        <v>215</v>
      </c>
      <c r="H79" s="7" t="s">
        <v>47</v>
      </c>
      <c r="I79" s="7" t="s">
        <v>48</v>
      </c>
      <c r="J79" s="9">
        <v>100</v>
      </c>
      <c r="K79" s="9">
        <v>300</v>
      </c>
      <c r="L79" s="7"/>
      <c r="M79" s="7"/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 s="6"/>
      <c r="AB79" s="6" t="str">
        <f t="shared" si="1"/>
        <v xml:space="preserve">url VARCHAR2(300)  , </v>
      </c>
      <c r="AC79" s="6" t="str">
        <f t="shared" si="3"/>
        <v>COMMENT ON COLUMN access.url IS '地址';</v>
      </c>
      <c r="AD79" s="6" t="str">
        <f>IF(O79&lt;&gt;"","CREATE SEQUENCE "&amp;O79&amp;" MINVALUE 1 MAXVALUE "&amp;IF(K79=5,"99999","9999999999999999999")&amp;" INCREMENT BY 1 START WITH 1 CACHE 20 NOORDER NOCYCLE ;","")</f>
        <v/>
      </c>
    </row>
    <row r="80" spans="1:30">
      <c r="A80" s="3">
        <v>61</v>
      </c>
      <c r="B80" s="6" t="s">
        <v>173</v>
      </c>
      <c r="C80" s="6"/>
      <c r="D80" s="7" t="s">
        <v>212</v>
      </c>
      <c r="E80" s="7" t="s">
        <v>198</v>
      </c>
      <c r="F80" s="7"/>
      <c r="G80" s="7" t="s">
        <v>216</v>
      </c>
      <c r="H80" s="7" t="s">
        <v>47</v>
      </c>
      <c r="I80" s="7" t="s">
        <v>48</v>
      </c>
      <c r="J80" s="9">
        <v>200</v>
      </c>
      <c r="K80" s="9">
        <v>600</v>
      </c>
      <c r="L80" s="7"/>
      <c r="M80" s="7"/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 s="6"/>
      <c r="AB80" s="6" t="str">
        <f t="shared" si="1"/>
        <v>description VARCHAR2(600) );</v>
      </c>
      <c r="AC80" s="6" t="str">
        <f t="shared" si="3"/>
        <v>COMMENT ON COLUMN access.description IS '描述';</v>
      </c>
      <c r="AD80" s="6" t="str">
        <f>IF(O80&lt;&gt;"","CREATE SEQUENCE "&amp;O80&amp;" MINVALUE 1 MAXVALUE "&amp;IF(K80=5,"99999","9999999999999999999")&amp;" INCREMENT BY 1 START WITH 1 CACHE 20 NOORDER NOCYCLE ;","")</f>
        <v/>
      </c>
    </row>
    <row r="81" spans="1:30" s="5" customFormat="1">
      <c r="A81" s="3">
        <v>62</v>
      </c>
      <c r="B81" s="4" t="s">
        <v>173</v>
      </c>
      <c r="C81" s="4" t="s">
        <v>217</v>
      </c>
      <c r="D81" s="3" t="s">
        <v>218</v>
      </c>
      <c r="E81" s="3" t="s">
        <v>210</v>
      </c>
      <c r="F81" s="3"/>
      <c r="G81" s="3" t="s">
        <v>204</v>
      </c>
      <c r="H81" s="3" t="s">
        <v>36</v>
      </c>
      <c r="I81" s="3" t="s">
        <v>128</v>
      </c>
      <c r="J81" s="3">
        <v>8</v>
      </c>
      <c r="K81" s="3">
        <v>8</v>
      </c>
      <c r="L81" s="3"/>
      <c r="M81" s="3"/>
      <c r="N81" s="3"/>
      <c r="O81" s="3"/>
      <c r="P81" s="3"/>
      <c r="Q81" s="3"/>
      <c r="R81" s="3"/>
      <c r="S81" s="4"/>
      <c r="T81" s="4"/>
      <c r="U81" s="4"/>
      <c r="V81" s="4"/>
      <c r="W81" s="4"/>
      <c r="X81" s="4"/>
      <c r="Y81" s="4"/>
      <c r="Z81" s="4"/>
      <c r="AA81" s="4"/>
      <c r="AB81" s="4" t="str">
        <f t="shared" si="1"/>
        <v xml:space="preserve">CREATE TABLE role_access (role_id NUMBER(8)  , </v>
      </c>
      <c r="AC81" s="4" t="str">
        <f t="shared" si="3"/>
        <v>COMMENT ON COLUMN role_access.role_id IS '角色标识';</v>
      </c>
      <c r="AD81" s="4" t="str">
        <f>"CREATE SEQUENCE seq_"&amp;D81&amp;" MINVALUE 1 MAXVALUE 9999999999999999999 INCREMENT BY 1 START WITH 1 CACHE 20 NOORDER NOCYCLE ;"</f>
        <v>CREATE SEQUENCE seq_role_access MINVALUE 1 MAXVALUE 9999999999999999999 INCREMENT BY 1 START WITH 1 CACHE 20 NOORDER NOCYCLE ;</v>
      </c>
    </row>
    <row r="82" spans="1:30">
      <c r="A82" s="3">
        <v>63</v>
      </c>
      <c r="B82" s="6" t="s">
        <v>173</v>
      </c>
      <c r="C82" s="6"/>
      <c r="D82" s="7" t="s">
        <v>218</v>
      </c>
      <c r="E82" s="7" t="s">
        <v>219</v>
      </c>
      <c r="F82" s="7"/>
      <c r="G82" s="7" t="s">
        <v>213</v>
      </c>
      <c r="H82" s="7" t="s">
        <v>36</v>
      </c>
      <c r="I82" s="7" t="s">
        <v>128</v>
      </c>
      <c r="J82" s="7">
        <v>8</v>
      </c>
      <c r="K82" s="7">
        <v>8</v>
      </c>
      <c r="L82" s="7"/>
      <c r="M82" s="7"/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 s="6"/>
      <c r="AB82" s="6" t="str">
        <f t="shared" si="1"/>
        <v>access_id NUMBER(8) );</v>
      </c>
      <c r="AC82" s="6" t="str">
        <f t="shared" si="3"/>
        <v>COMMENT ON COLUMN role_access.access_id IS '权限标识';</v>
      </c>
      <c r="AD82" s="6" t="str">
        <f>IF(O82&lt;&gt;"","CREATE SEQUENCE "&amp;O82&amp;" MINVALUE 1 MAXVALUE "&amp;IF(K82=5,"99999","9999999999999999999")&amp;" INCREMENT BY 1 START WITH 1 CACHE 20 NOORDER NOCYCLE ;","")</f>
        <v/>
      </c>
    </row>
    <row r="83" spans="1:30" s="5" customFormat="1">
      <c r="A83" s="3">
        <v>64</v>
      </c>
      <c r="B83" s="4" t="s">
        <v>173</v>
      </c>
      <c r="C83" s="4" t="s">
        <v>220</v>
      </c>
      <c r="D83" s="3" t="s">
        <v>221</v>
      </c>
      <c r="E83" s="3" t="s">
        <v>34</v>
      </c>
      <c r="F83" s="3"/>
      <c r="G83" s="3" t="s">
        <v>222</v>
      </c>
      <c r="H83" s="3" t="s">
        <v>36</v>
      </c>
      <c r="I83" s="3" t="s">
        <v>128</v>
      </c>
      <c r="J83" s="3">
        <v>8</v>
      </c>
      <c r="K83" s="3">
        <v>8</v>
      </c>
      <c r="L83" s="3"/>
      <c r="M83" s="3"/>
      <c r="N83" s="3" t="s">
        <v>38</v>
      </c>
      <c r="O83" s="3"/>
      <c r="P83" s="3" t="s">
        <v>38</v>
      </c>
      <c r="Q83" s="3"/>
      <c r="R83" s="3"/>
      <c r="S83" s="4"/>
      <c r="T83" s="4"/>
      <c r="U83" s="4"/>
      <c r="V83" s="4"/>
      <c r="W83" s="4"/>
      <c r="X83" s="4"/>
      <c r="Y83" s="4"/>
      <c r="Z83" s="4"/>
      <c r="AA83" s="4"/>
      <c r="AB83" s="4" t="str">
        <f t="shared" si="1"/>
        <v xml:space="preserve">CREATE TABLE site_config (id NUMBER(8)  NOT NULL PRIMARY KEY , </v>
      </c>
      <c r="AC83" s="4" t="str">
        <f t="shared" si="3"/>
        <v>COMMENT ON COLUMN site_config.id IS '参数标识';</v>
      </c>
      <c r="AD83" s="4" t="str">
        <f>"CREATE SEQUENCE seq_"&amp;D83&amp;" MINVALUE 1 MAXVALUE 9999999999999999999 INCREMENT BY 1 START WITH 1 CACHE 20 NOORDER NOCYCLE ;"</f>
        <v>CREATE SEQUENCE seq_site_config MINVALUE 1 MAXVALUE 9999999999999999999 INCREMENT BY 1 START WITH 1 CACHE 20 NOORDER NOCYCLE ;</v>
      </c>
    </row>
    <row r="84" spans="1:30">
      <c r="A84" s="3">
        <v>65</v>
      </c>
      <c r="B84" s="6" t="s">
        <v>173</v>
      </c>
      <c r="C84" s="6"/>
      <c r="D84" s="7" t="s">
        <v>221</v>
      </c>
      <c r="E84" s="7" t="s">
        <v>223</v>
      </c>
      <c r="F84" s="7"/>
      <c r="G84" s="7" t="s">
        <v>224</v>
      </c>
      <c r="H84" s="7" t="s">
        <v>47</v>
      </c>
      <c r="I84" s="7" t="s">
        <v>48</v>
      </c>
      <c r="J84" s="9">
        <v>20</v>
      </c>
      <c r="K84" s="9">
        <v>60</v>
      </c>
      <c r="L84" s="7"/>
      <c r="M84" s="7"/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 s="6"/>
      <c r="AB84" s="6" t="str">
        <f t="shared" si="1"/>
        <v xml:space="preserve">system_name VARCHAR2(60)  , </v>
      </c>
      <c r="AC84" s="6" t="str">
        <f t="shared" si="3"/>
        <v>COMMENT ON COLUMN site_config.system_name IS '系统名称';</v>
      </c>
      <c r="AD84" s="6" t="str">
        <f>IF(O84&lt;&gt;"","CREATE SEQUENCE "&amp;O84&amp;" MINVALUE 1 MAXVALUE "&amp;IF(K84=5,"99999","9999999999999999999")&amp;" INCREMENT BY 1 START WITH 1 CACHE 20 NOORDER NOCYCLE ;","")</f>
        <v/>
      </c>
    </row>
    <row r="85" spans="1:30">
      <c r="A85" s="3">
        <v>66</v>
      </c>
      <c r="B85" s="6" t="s">
        <v>173</v>
      </c>
      <c r="C85" s="6"/>
      <c r="D85" s="7" t="s">
        <v>221</v>
      </c>
      <c r="E85" s="7" t="s">
        <v>225</v>
      </c>
      <c r="F85" s="7"/>
      <c r="G85" s="7" t="s">
        <v>226</v>
      </c>
      <c r="H85" s="7" t="s">
        <v>47</v>
      </c>
      <c r="I85" s="7" t="s">
        <v>48</v>
      </c>
      <c r="J85" s="7">
        <v>200</v>
      </c>
      <c r="K85" s="7">
        <v>200</v>
      </c>
      <c r="L85" s="7"/>
      <c r="M85" s="7"/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 s="6"/>
      <c r="AB85" s="6" t="str">
        <f t="shared" ref="AB85:AB154" si="5">IF(D84=D85,"","CREATE TABLE "&amp;D85&amp;" (")&amp;E85&amp;" "&amp;H85&amp;IF(K85&lt;&gt;"","("&amp;K85&amp;") ","")&amp;IF(P85="Y"," NOT NULL","")&amp;IF(N85="Y"," PRIMARY KEY","")&amp;IF(D85=D86,"",")")&amp;IF(D85=D86," , ",";")</f>
        <v xml:space="preserve">system_logo VARCHAR2(200)  , </v>
      </c>
      <c r="AC85" s="6" t="str">
        <f t="shared" si="3"/>
        <v>COMMENT ON COLUMN site_config.system_logo IS '系统图标';</v>
      </c>
      <c r="AD85" s="6" t="str">
        <f>IF(O85&lt;&gt;"","CREATE SEQUENCE "&amp;O85&amp;" MINVALUE 1 MAXVALUE "&amp;IF(K85=5,"99999","9999999999999999999")&amp;" INCREMENT BY 1 START WITH 1 CACHE 20 NOORDER NOCYCLE ;","")</f>
        <v/>
      </c>
    </row>
    <row r="86" spans="1:30">
      <c r="A86" s="3">
        <v>67</v>
      </c>
      <c r="B86" s="6" t="s">
        <v>173</v>
      </c>
      <c r="C86" s="6"/>
      <c r="D86" s="7" t="s">
        <v>221</v>
      </c>
      <c r="E86" s="7" t="s">
        <v>227</v>
      </c>
      <c r="F86" s="7"/>
      <c r="G86" s="7" t="s">
        <v>228</v>
      </c>
      <c r="H86" s="7" t="s">
        <v>47</v>
      </c>
      <c r="I86" s="7" t="s">
        <v>48</v>
      </c>
      <c r="J86" s="7">
        <v>100</v>
      </c>
      <c r="K86" s="7">
        <v>100</v>
      </c>
      <c r="L86" s="7"/>
      <c r="M86" s="7"/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 s="6"/>
      <c r="AB86" s="6" t="str">
        <f t="shared" si="5"/>
        <v xml:space="preserve">send_email_smtp VARCHAR2(100)  , </v>
      </c>
      <c r="AC86" s="6" t="str">
        <f t="shared" si="3"/>
        <v>COMMENT ON COLUMN site_config.send_email_smtp IS 'SMTP IP';</v>
      </c>
      <c r="AD86" s="6" t="str">
        <f>IF(O86&lt;&gt;"","CREATE SEQUENCE "&amp;O86&amp;" MINVALUE 1 MAXVALUE "&amp;IF(K86=5,"99999","9999999999999999999")&amp;" INCREMENT BY 1 START WITH 1 CACHE 20 NOORDER NOCYCLE ;","")</f>
        <v/>
      </c>
    </row>
    <row r="87" spans="1:30">
      <c r="A87" s="3">
        <v>68</v>
      </c>
      <c r="B87" s="6" t="s">
        <v>173</v>
      </c>
      <c r="C87" s="6"/>
      <c r="D87" s="7" t="s">
        <v>221</v>
      </c>
      <c r="E87" s="7" t="s">
        <v>229</v>
      </c>
      <c r="F87" s="7"/>
      <c r="G87" s="7" t="s">
        <v>230</v>
      </c>
      <c r="H87" s="7" t="s">
        <v>47</v>
      </c>
      <c r="I87" s="7" t="s">
        <v>48</v>
      </c>
      <c r="J87" s="7">
        <v>50</v>
      </c>
      <c r="K87" s="7">
        <v>50</v>
      </c>
      <c r="L87" s="7"/>
      <c r="M87" s="7"/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 s="6"/>
      <c r="AB87" s="6" t="str">
        <f t="shared" si="5"/>
        <v xml:space="preserve">send_email_address VARCHAR2(50)  , </v>
      </c>
      <c r="AC87" s="6" t="str">
        <f t="shared" si="3"/>
        <v>COMMENT ON COLUMN site_config.send_email_address IS '邮件账号';</v>
      </c>
      <c r="AD87" s="6" t="str">
        <f>IF(O87&lt;&gt;"","CREATE SEQUENCE "&amp;O87&amp;" MINVALUE 1 MAXVALUE "&amp;IF(K87=5,"99999","9999999999999999999")&amp;" INCREMENT BY 1 START WITH 1 CACHE 20 NOORDER NOCYCLE ;","")</f>
        <v/>
      </c>
    </row>
    <row r="88" spans="1:30">
      <c r="A88" s="3">
        <v>69</v>
      </c>
      <c r="B88" s="6" t="s">
        <v>173</v>
      </c>
      <c r="C88" s="6"/>
      <c r="D88" s="7" t="s">
        <v>221</v>
      </c>
      <c r="E88" s="7" t="s">
        <v>231</v>
      </c>
      <c r="F88" s="7"/>
      <c r="G88" s="7" t="s">
        <v>232</v>
      </c>
      <c r="H88" s="7" t="s">
        <v>47</v>
      </c>
      <c r="I88" s="7" t="s">
        <v>48</v>
      </c>
      <c r="J88" s="7">
        <v>20</v>
      </c>
      <c r="K88" s="7">
        <v>20</v>
      </c>
      <c r="L88" s="7"/>
      <c r="M88" s="7"/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 s="6"/>
      <c r="AB88" s="6" t="str">
        <f t="shared" si="5"/>
        <v xml:space="preserve">send_email_password VARCHAR2(20)  , </v>
      </c>
      <c r="AC88" s="6" t="str">
        <f t="shared" si="3"/>
        <v>COMMENT ON COLUMN site_config.send_email_password IS '邮件发送密码';</v>
      </c>
      <c r="AD88" s="6" t="str">
        <f>IF(O88&lt;&gt;"","CREATE SEQUENCE "&amp;O88&amp;" MINVALUE 1 MAXVALUE "&amp;IF(K88=5,"99999","9999999999999999999")&amp;" INCREMENT BY 1 START WITH 1 CACHE 20 NOORDER NOCYCLE ;","")</f>
        <v/>
      </c>
    </row>
    <row r="89" spans="1:30">
      <c r="A89" s="3">
        <v>70</v>
      </c>
      <c r="B89" s="6" t="s">
        <v>173</v>
      </c>
      <c r="C89" s="6"/>
      <c r="D89" s="7" t="s">
        <v>221</v>
      </c>
      <c r="E89" s="7" t="s">
        <v>233</v>
      </c>
      <c r="F89" s="7"/>
      <c r="G89" s="7" t="s">
        <v>234</v>
      </c>
      <c r="H89" s="7" t="s">
        <v>47</v>
      </c>
      <c r="I89" s="7" t="s">
        <v>48</v>
      </c>
      <c r="J89" s="7">
        <v>100</v>
      </c>
      <c r="K89" s="7">
        <v>100</v>
      </c>
      <c r="L89" s="7"/>
      <c r="M89" s="7"/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 s="6"/>
      <c r="AB89" s="6" t="str">
        <f t="shared" si="5"/>
        <v xml:space="preserve">sms_server_url VARCHAR2(100)  , </v>
      </c>
      <c r="AC89" s="6" t="str">
        <f t="shared" si="3"/>
        <v>COMMENT ON COLUMN site_config.sms_server_url IS '短信服务地址';</v>
      </c>
      <c r="AD89" s="6"/>
    </row>
    <row r="90" spans="1:30">
      <c r="A90" s="3">
        <v>71</v>
      </c>
      <c r="B90" s="6" t="s">
        <v>173</v>
      </c>
      <c r="C90" s="6"/>
      <c r="D90" s="7" t="s">
        <v>221</v>
      </c>
      <c r="E90" s="7" t="s">
        <v>235</v>
      </c>
      <c r="F90" s="7"/>
      <c r="G90" s="7" t="s">
        <v>236</v>
      </c>
      <c r="H90" s="7" t="s">
        <v>47</v>
      </c>
      <c r="I90" s="7" t="s">
        <v>48</v>
      </c>
      <c r="J90" s="7">
        <v>10</v>
      </c>
      <c r="K90" s="7">
        <v>30</v>
      </c>
      <c r="L90" s="7"/>
      <c r="M90" s="7"/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 s="6"/>
      <c r="AB90" s="6" t="str">
        <f t="shared" si="5"/>
        <v xml:space="preserve">sms_user_name VARCHAR2(30)  , </v>
      </c>
      <c r="AC90" s="6" t="str">
        <f t="shared" si="3"/>
        <v>COMMENT ON COLUMN site_config.sms_user_name IS '短信服务姓名';</v>
      </c>
      <c r="AD90" s="6"/>
    </row>
    <row r="91" spans="1:30">
      <c r="A91" s="3">
        <v>72</v>
      </c>
      <c r="B91" s="6" t="s">
        <v>173</v>
      </c>
      <c r="C91" s="6"/>
      <c r="D91" s="7" t="s">
        <v>221</v>
      </c>
      <c r="E91" s="7" t="s">
        <v>237</v>
      </c>
      <c r="F91" s="7"/>
      <c r="G91" s="7" t="s">
        <v>238</v>
      </c>
      <c r="H91" s="7" t="s">
        <v>47</v>
      </c>
      <c r="I91" s="7" t="s">
        <v>48</v>
      </c>
      <c r="J91" s="7">
        <v>50</v>
      </c>
      <c r="K91" s="7">
        <v>50</v>
      </c>
      <c r="L91" s="7"/>
      <c r="M91" s="7"/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 s="6"/>
      <c r="AB91" s="6" t="str">
        <f t="shared" si="5"/>
        <v xml:space="preserve">sms_password VARCHAR2(50)  , </v>
      </c>
      <c r="AC91" s="6" t="str">
        <f t="shared" si="3"/>
        <v>COMMENT ON COLUMN site_config.sms_password IS '短信服务密码';</v>
      </c>
      <c r="AD91" s="6"/>
    </row>
    <row r="92" spans="1:30">
      <c r="A92" s="3">
        <v>73</v>
      </c>
      <c r="B92" s="6" t="s">
        <v>173</v>
      </c>
      <c r="C92" s="6"/>
      <c r="D92" s="7" t="s">
        <v>221</v>
      </c>
      <c r="E92" s="7" t="s">
        <v>239</v>
      </c>
      <c r="F92" s="7"/>
      <c r="G92" s="7" t="s">
        <v>240</v>
      </c>
      <c r="H92" s="7" t="s">
        <v>47</v>
      </c>
      <c r="I92" s="7" t="s">
        <v>48</v>
      </c>
      <c r="J92" s="9">
        <v>200</v>
      </c>
      <c r="K92" s="9">
        <v>600</v>
      </c>
      <c r="L92" s="7"/>
      <c r="M92" s="7"/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 s="6"/>
      <c r="AB92" s="6" t="str">
        <f t="shared" si="5"/>
        <v xml:space="preserve">copyright VARCHAR2(600)  , </v>
      </c>
      <c r="AC92" s="6" t="str">
        <f t="shared" si="3"/>
        <v>COMMENT ON COLUMN site_config.copyright IS '版权';</v>
      </c>
      <c r="AD92" s="6"/>
    </row>
    <row r="93" spans="1:30">
      <c r="A93" s="3">
        <v>74</v>
      </c>
      <c r="B93" s="6" t="s">
        <v>173</v>
      </c>
      <c r="C93" s="6"/>
      <c r="D93" s="7" t="s">
        <v>221</v>
      </c>
      <c r="E93" s="7" t="s">
        <v>241</v>
      </c>
      <c r="F93" s="7"/>
      <c r="G93" s="7" t="s">
        <v>201</v>
      </c>
      <c r="H93" s="7" t="s">
        <v>36</v>
      </c>
      <c r="I93" s="7" t="s">
        <v>128</v>
      </c>
      <c r="J93" s="7">
        <v>1</v>
      </c>
      <c r="K93" s="7">
        <v>1</v>
      </c>
      <c r="L93" s="7"/>
      <c r="M93" s="7"/>
      <c r="N93" s="7"/>
      <c r="O93" s="7"/>
      <c r="P93" s="7" t="s">
        <v>38</v>
      </c>
      <c r="Q93" s="7"/>
      <c r="R93" s="7"/>
      <c r="S93" s="6"/>
      <c r="T93" s="6"/>
      <c r="U93" s="6"/>
      <c r="V93" s="6"/>
      <c r="W93" s="6"/>
      <c r="X93" s="6"/>
      <c r="Y93" s="6"/>
      <c r="Z93" s="6"/>
      <c r="AA93" s="6"/>
      <c r="AB93" s="6" t="str">
        <f t="shared" si="5"/>
        <v>available NUMBER(1)  NOT NULL);</v>
      </c>
      <c r="AC93" s="6" t="str">
        <f t="shared" si="3"/>
        <v>COMMENT ON COLUMN site_config.available IS '是否可用';</v>
      </c>
      <c r="AD93" s="6"/>
    </row>
    <row r="94" spans="1:30" s="5" customFormat="1">
      <c r="A94" s="3">
        <v>75</v>
      </c>
      <c r="B94" s="4" t="s">
        <v>173</v>
      </c>
      <c r="C94" s="4" t="s">
        <v>242</v>
      </c>
      <c r="D94" s="3" t="s">
        <v>243</v>
      </c>
      <c r="E94" s="3" t="s">
        <v>244</v>
      </c>
      <c r="F94" s="3"/>
      <c r="G94" s="3" t="s">
        <v>245</v>
      </c>
      <c r="H94" s="3" t="s">
        <v>36</v>
      </c>
      <c r="I94" s="3" t="s">
        <v>177</v>
      </c>
      <c r="J94" s="3">
        <v>11</v>
      </c>
      <c r="K94" s="3">
        <v>11</v>
      </c>
      <c r="L94" s="3"/>
      <c r="M94" s="3"/>
      <c r="N94" s="3" t="s">
        <v>38</v>
      </c>
      <c r="O94" s="3"/>
      <c r="P94" s="3" t="s">
        <v>38</v>
      </c>
      <c r="Q94" s="3"/>
      <c r="R94" s="3"/>
      <c r="S94" s="4"/>
      <c r="T94" s="4"/>
      <c r="U94" s="4"/>
      <c r="V94" s="4"/>
      <c r="W94" s="4"/>
      <c r="X94" s="4"/>
      <c r="Y94" s="4"/>
      <c r="Z94" s="4"/>
      <c r="AA94" s="4"/>
      <c r="AB94" s="4" t="str">
        <f t="shared" si="5"/>
        <v xml:space="preserve">CREATE TABLE notice (id NUMBER(11)  NOT NULL PRIMARY KEY , </v>
      </c>
      <c r="AC94" s="4" t="str">
        <f t="shared" si="3"/>
        <v>COMMENT ON COLUMN notice.id IS '通知标识';</v>
      </c>
      <c r="AD94" s="4" t="str">
        <f>"CREATE SEQUENCE seq_"&amp;D94&amp;" MINVALUE 1 MAXVALUE 9999999999999999999 INCREMENT BY 1 START WITH 1 CACHE 20 NOORDER NOCYCLE ;"</f>
        <v>CREATE SEQUENCE seq_notice MINVALUE 1 MAXVALUE 9999999999999999999 INCREMENT BY 1 START WITH 1 CACHE 20 NOORDER NOCYCLE ;</v>
      </c>
    </row>
    <row r="95" spans="1:30">
      <c r="A95" s="3">
        <v>76</v>
      </c>
      <c r="B95" s="6" t="s">
        <v>173</v>
      </c>
      <c r="C95" s="6"/>
      <c r="D95" s="7" t="s">
        <v>243</v>
      </c>
      <c r="E95" s="7" t="s">
        <v>246</v>
      </c>
      <c r="F95" s="7"/>
      <c r="G95" s="7" t="s">
        <v>247</v>
      </c>
      <c r="H95" s="7" t="s">
        <v>47</v>
      </c>
      <c r="I95" s="7" t="s">
        <v>48</v>
      </c>
      <c r="J95" s="7">
        <v>100</v>
      </c>
      <c r="K95" s="7">
        <v>300</v>
      </c>
      <c r="L95" s="7"/>
      <c r="M95" s="7"/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 s="6"/>
      <c r="AB95" s="6" t="str">
        <f t="shared" si="5"/>
        <v xml:space="preserve">title VARCHAR2(300)  , </v>
      </c>
      <c r="AC95" s="6" t="str">
        <f t="shared" si="3"/>
        <v>COMMENT ON COLUMN notice.title IS '标题';</v>
      </c>
      <c r="AD95" s="6"/>
    </row>
    <row r="96" spans="1:30">
      <c r="A96" s="3">
        <v>77</v>
      </c>
      <c r="B96" s="6" t="s">
        <v>173</v>
      </c>
      <c r="C96" s="6"/>
      <c r="D96" s="7" t="s">
        <v>243</v>
      </c>
      <c r="E96" s="7" t="s">
        <v>248</v>
      </c>
      <c r="F96" s="7"/>
      <c r="G96" s="7" t="s">
        <v>249</v>
      </c>
      <c r="H96" s="7" t="s">
        <v>47</v>
      </c>
      <c r="I96" s="7" t="s">
        <v>48</v>
      </c>
      <c r="J96" s="9">
        <v>300</v>
      </c>
      <c r="K96" s="7">
        <v>900</v>
      </c>
      <c r="L96" s="7"/>
      <c r="M96" s="7"/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 s="6"/>
      <c r="AB96" s="6" t="str">
        <f t="shared" si="5"/>
        <v xml:space="preserve">content VARCHAR2(900)  , </v>
      </c>
      <c r="AC96" s="6" t="str">
        <f t="shared" si="3"/>
        <v>COMMENT ON COLUMN notice.content IS '内容';</v>
      </c>
      <c r="AD96" s="6"/>
    </row>
    <row r="97" spans="1:31">
      <c r="A97" s="3">
        <v>78</v>
      </c>
      <c r="B97" s="6" t="s">
        <v>173</v>
      </c>
      <c r="C97" s="6"/>
      <c r="D97" s="7" t="s">
        <v>243</v>
      </c>
      <c r="E97" s="7" t="s">
        <v>250</v>
      </c>
      <c r="F97" s="7"/>
      <c r="G97" s="7" t="s">
        <v>251</v>
      </c>
      <c r="H97" s="7" t="s">
        <v>186</v>
      </c>
      <c r="I97" s="7" t="s">
        <v>187</v>
      </c>
      <c r="J97" s="7"/>
      <c r="K97" s="7"/>
      <c r="L97" s="7"/>
      <c r="M97" s="7"/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 s="6"/>
      <c r="AB97" s="6" t="str">
        <f t="shared" si="5"/>
        <v xml:space="preserve">release_date DATE , </v>
      </c>
      <c r="AC97" s="6" t="str">
        <f t="shared" si="3"/>
        <v>COMMENT ON COLUMN notice.release_date IS '发布日期';</v>
      </c>
      <c r="AD97" s="6"/>
    </row>
    <row r="98" spans="1:31">
      <c r="A98" s="3">
        <v>79</v>
      </c>
      <c r="B98" s="6" t="s">
        <v>173</v>
      </c>
      <c r="C98" s="6"/>
      <c r="D98" s="7" t="s">
        <v>243</v>
      </c>
      <c r="E98" s="7" t="s">
        <v>252</v>
      </c>
      <c r="F98" s="7"/>
      <c r="G98" s="7" t="s">
        <v>253</v>
      </c>
      <c r="H98" s="7" t="s">
        <v>186</v>
      </c>
      <c r="I98" s="7" t="s">
        <v>187</v>
      </c>
      <c r="J98" s="7"/>
      <c r="K98" s="7"/>
      <c r="L98" s="7"/>
      <c r="M98" s="7"/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 s="6"/>
      <c r="AB98" s="6" t="str">
        <f t="shared" si="5"/>
        <v xml:space="preserve">trigger_date DATE , </v>
      </c>
      <c r="AC98" s="6" t="str">
        <f t="shared" si="3"/>
        <v>COMMENT ON COLUMN notice.trigger_date IS '日期';</v>
      </c>
      <c r="AD98" s="6"/>
    </row>
    <row r="99" spans="1:31">
      <c r="A99" s="3">
        <v>80</v>
      </c>
      <c r="B99" s="6" t="s">
        <v>173</v>
      </c>
      <c r="C99" s="6"/>
      <c r="D99" s="7" t="s">
        <v>243</v>
      </c>
      <c r="E99" s="7" t="s">
        <v>254</v>
      </c>
      <c r="F99" s="7"/>
      <c r="G99" s="7" t="s">
        <v>176</v>
      </c>
      <c r="H99" s="7" t="s">
        <v>36</v>
      </c>
      <c r="I99" s="7" t="s">
        <v>177</v>
      </c>
      <c r="J99" s="7">
        <v>11</v>
      </c>
      <c r="K99" s="7">
        <v>11</v>
      </c>
      <c r="L99" s="7"/>
      <c r="M99" s="7"/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 s="6"/>
      <c r="AB99" s="6" t="str">
        <f t="shared" si="5"/>
        <v xml:space="preserve">submiter NUMBER(11)  , </v>
      </c>
      <c r="AC99" s="6" t="str">
        <f t="shared" si="3"/>
        <v>COMMENT ON COLUMN notice.submiter IS '用户标识';</v>
      </c>
      <c r="AD99" s="6"/>
    </row>
    <row r="100" spans="1:31">
      <c r="A100" s="3">
        <v>81</v>
      </c>
      <c r="B100" s="6" t="s">
        <v>173</v>
      </c>
      <c r="C100" s="6"/>
      <c r="D100" s="7" t="s">
        <v>243</v>
      </c>
      <c r="E100" s="7" t="s">
        <v>255</v>
      </c>
      <c r="F100" s="7"/>
      <c r="G100" s="7" t="s">
        <v>256</v>
      </c>
      <c r="H100" s="7" t="s">
        <v>36</v>
      </c>
      <c r="I100" s="7" t="s">
        <v>128</v>
      </c>
      <c r="J100" s="7">
        <v>1</v>
      </c>
      <c r="K100" s="7">
        <v>1</v>
      </c>
      <c r="L100" s="7"/>
      <c r="M100" s="7"/>
      <c r="N100" s="7"/>
      <c r="O100" s="7"/>
      <c r="P100" s="7" t="s">
        <v>38</v>
      </c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 s="6"/>
      <c r="AB100" s="6" t="str">
        <f t="shared" si="5"/>
        <v>status NUMBER(1)  NOT NULL);</v>
      </c>
      <c r="AC100" s="6" t="str">
        <f t="shared" si="3"/>
        <v>COMMENT ON COLUMN notice.status IS '通知状态';</v>
      </c>
      <c r="AD100" s="6"/>
    </row>
    <row r="101" spans="1:31" s="5" customFormat="1">
      <c r="A101" s="3">
        <v>82</v>
      </c>
      <c r="B101" s="3" t="s">
        <v>257</v>
      </c>
      <c r="C101" s="4" t="s">
        <v>258</v>
      </c>
      <c r="D101" s="3" t="s">
        <v>259</v>
      </c>
      <c r="E101" s="3" t="s">
        <v>260</v>
      </c>
      <c r="F101" s="3"/>
      <c r="G101" s="3" t="s">
        <v>261</v>
      </c>
      <c r="H101" s="3" t="s">
        <v>262</v>
      </c>
      <c r="I101" s="3" t="s">
        <v>128</v>
      </c>
      <c r="J101" s="3">
        <v>8</v>
      </c>
      <c r="K101" s="3">
        <v>8</v>
      </c>
      <c r="L101" s="3"/>
      <c r="M101" s="3"/>
      <c r="N101" s="3"/>
      <c r="O101" s="3"/>
      <c r="P101" s="3"/>
      <c r="Q101" s="3"/>
      <c r="R101" s="3"/>
      <c r="S101" s="4"/>
      <c r="T101" s="4"/>
      <c r="U101" s="4"/>
      <c r="V101" s="4"/>
      <c r="W101" s="4"/>
      <c r="X101" s="4"/>
      <c r="Y101" s="4"/>
      <c r="Z101" s="4"/>
      <c r="AA101" s="4"/>
      <c r="AB101" s="4" t="str">
        <f t="shared" si="5"/>
        <v xml:space="preserve">CREATE TABLE hospital (hospital_id NUMBER(8)  , </v>
      </c>
      <c r="AC101" s="4" t="str">
        <f t="shared" si="3"/>
        <v>COMMENT ON COLUMN hospital.hospital_id IS '医院标识';</v>
      </c>
      <c r="AD101" s="4" t="str">
        <f>"CREATE SEQUENCE seq_"&amp;D101&amp;" MINVALUE 1 MAXVALUE 9999999999999999999 INCREMENT BY 1 START WITH 1 CACHE 20 NOORDER NOCYCLE ;"</f>
        <v>CREATE SEQUENCE seq_hospital MINVALUE 1 MAXVALUE 9999999999999999999 INCREMENT BY 1 START WITH 1 CACHE 20 NOORDER NOCYCLE ;</v>
      </c>
    </row>
    <row r="102" spans="1:31">
      <c r="A102" s="3">
        <v>83</v>
      </c>
      <c r="B102" s="7" t="s">
        <v>257</v>
      </c>
      <c r="C102" s="6"/>
      <c r="D102" s="7" t="s">
        <v>259</v>
      </c>
      <c r="E102" s="7" t="s">
        <v>178</v>
      </c>
      <c r="F102" s="7"/>
      <c r="G102" s="7" t="s">
        <v>263</v>
      </c>
      <c r="H102" s="7" t="s">
        <v>47</v>
      </c>
      <c r="I102" s="7" t="s">
        <v>48</v>
      </c>
      <c r="J102" s="9">
        <v>20</v>
      </c>
      <c r="K102" s="9">
        <v>60</v>
      </c>
      <c r="L102" s="7"/>
      <c r="M102" s="7"/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 s="6"/>
      <c r="AB102" s="6" t="str">
        <f t="shared" si="5"/>
        <v xml:space="preserve">name VARCHAR2(60)  , </v>
      </c>
      <c r="AC102" s="6" t="str">
        <f t="shared" si="3"/>
        <v>COMMENT ON COLUMN hospital.name IS '医院名称';</v>
      </c>
      <c r="AD102" s="6"/>
    </row>
    <row r="103" spans="1:31">
      <c r="A103" s="3">
        <v>84</v>
      </c>
      <c r="B103" s="7" t="s">
        <v>257</v>
      </c>
      <c r="C103" s="6"/>
      <c r="D103" s="7" t="s">
        <v>259</v>
      </c>
      <c r="E103" s="7" t="s">
        <v>264</v>
      </c>
      <c r="F103" s="7"/>
      <c r="G103" s="7" t="s">
        <v>264</v>
      </c>
      <c r="H103" s="7" t="s">
        <v>47</v>
      </c>
      <c r="I103" s="7" t="s">
        <v>48</v>
      </c>
      <c r="J103" s="7">
        <v>50</v>
      </c>
      <c r="K103" s="7">
        <v>50</v>
      </c>
      <c r="L103" s="7"/>
      <c r="M103" s="7"/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 s="6"/>
      <c r="AB103" s="6" t="str">
        <f t="shared" si="5"/>
        <v xml:space="preserve">OID VARCHAR2(50)  , </v>
      </c>
      <c r="AC103" s="6" t="str">
        <f t="shared" si="3"/>
        <v>COMMENT ON COLUMN hospital.OID IS 'OID';</v>
      </c>
      <c r="AD103" s="6"/>
    </row>
    <row r="104" spans="1:31">
      <c r="A104" s="3">
        <v>85</v>
      </c>
      <c r="B104" s="7" t="s">
        <v>257</v>
      </c>
      <c r="C104" s="6"/>
      <c r="D104" s="7" t="s">
        <v>259</v>
      </c>
      <c r="E104" s="10" t="s">
        <v>265</v>
      </c>
      <c r="F104" s="10"/>
      <c r="G104" s="10" t="s">
        <v>266</v>
      </c>
      <c r="H104" s="7" t="s">
        <v>36</v>
      </c>
      <c r="I104" s="7" t="s">
        <v>128</v>
      </c>
      <c r="J104" s="9">
        <v>1</v>
      </c>
      <c r="K104" s="9">
        <v>1</v>
      </c>
      <c r="L104" s="7"/>
      <c r="M104" s="7"/>
      <c r="N104" s="7"/>
      <c r="O104" s="7"/>
      <c r="P104" s="7" t="s">
        <v>38</v>
      </c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 s="6"/>
      <c r="AB104" s="6" t="str">
        <f>IF(D103=D104,"","CREATE TABLE "&amp;D104&amp;" (")&amp;E104&amp;" "&amp;H104&amp;IF(K104&lt;&gt;"","("&amp;K104&amp;") ","")&amp;IF(P104="Y"," NOT NULL","")&amp;IF(N104="Y"," PRIMARY KEY","")&amp;IF(D104=D106,"",")")&amp;IF(D104=D106," , ",";")</f>
        <v>is_outside_hospital NUMBER(1)  NOT NULL);</v>
      </c>
      <c r="AC104" s="6" t="str">
        <f t="shared" si="3"/>
        <v>COMMENT ON COLUMN hospital.is_outside_hospital IS '是否外院';</v>
      </c>
      <c r="AD104" s="6"/>
    </row>
    <row r="105" spans="1:31">
      <c r="A105" s="3"/>
      <c r="B105" s="7" t="s">
        <v>257</v>
      </c>
      <c r="C105" s="6"/>
      <c r="D105" s="7" t="s">
        <v>259</v>
      </c>
      <c r="E105" s="10" t="s">
        <v>267</v>
      </c>
      <c r="F105" s="10"/>
      <c r="G105" s="10" t="s">
        <v>268</v>
      </c>
      <c r="H105" s="7" t="s">
        <v>36</v>
      </c>
      <c r="I105" s="7" t="s">
        <v>128</v>
      </c>
      <c r="J105" s="9">
        <v>1</v>
      </c>
      <c r="K105" s="9">
        <v>1</v>
      </c>
      <c r="L105" s="7"/>
      <c r="M105" s="7"/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 s="6"/>
      <c r="AB105" s="6" t="str">
        <f>IF(D104=D105,"","CREATE TABLE "&amp;D105&amp;" (")&amp;E105&amp;" "&amp;H105&amp;IF(K105&lt;&gt;"","("&amp;K105&amp;") ","")&amp;IF(P105="Y"," NOT NULL","")&amp;IF(N105="Y"," PRIMARY KEY","")&amp;IF(D105=D107,"",")")&amp;IF(D105=D107," , ",";")</f>
        <v>del_flag NUMBER(1) );</v>
      </c>
      <c r="AC105" s="6" t="str">
        <f t="shared" si="3"/>
        <v>COMMENT ON COLUMN hospital.del_flag IS '删除标志';</v>
      </c>
      <c r="AD105" s="6"/>
    </row>
    <row r="106" spans="1:31">
      <c r="A106" s="3">
        <v>86</v>
      </c>
      <c r="B106" s="3" t="s">
        <v>257</v>
      </c>
      <c r="C106" s="4" t="s">
        <v>269</v>
      </c>
      <c r="D106" s="3" t="s">
        <v>270</v>
      </c>
      <c r="E106" s="3" t="s">
        <v>271</v>
      </c>
      <c r="F106" s="3"/>
      <c r="G106" s="3" t="s">
        <v>272</v>
      </c>
      <c r="H106" s="3" t="s">
        <v>262</v>
      </c>
      <c r="I106" s="3" t="s">
        <v>128</v>
      </c>
      <c r="J106" s="3">
        <v>8</v>
      </c>
      <c r="K106" s="3">
        <v>8</v>
      </c>
      <c r="L106" s="3"/>
      <c r="M106" s="3"/>
      <c r="N106" s="3" t="s">
        <v>38</v>
      </c>
      <c r="O106" s="3"/>
      <c r="P106" s="3" t="s">
        <v>38</v>
      </c>
      <c r="Q106" s="3"/>
      <c r="R106" s="3"/>
      <c r="S106" s="4"/>
      <c r="T106" s="4"/>
      <c r="U106" s="4"/>
      <c r="V106" s="4"/>
      <c r="W106" s="4"/>
      <c r="X106" s="4"/>
      <c r="Y106" s="4"/>
      <c r="Z106" s="4"/>
      <c r="AA106" s="4"/>
      <c r="AB106" s="4" t="str">
        <f>IF(D104=D106,"","CREATE TABLE "&amp;D106&amp;" (")&amp;E106&amp;" "&amp;H106&amp;IF(K106&lt;&gt;"","("&amp;K106&amp;") ","")&amp;IF(P106="Y"," NOT NULL","")&amp;IF(N106="Y"," PRIMARY KEY","")&amp;IF(D106=D107,"",")")&amp;IF(D106=D107," , ",";")</f>
        <v xml:space="preserve">CREATE TABLE clinic (clinc_id NUMBER(8)  NOT NULL PRIMARY KEY , </v>
      </c>
      <c r="AC106" s="4" t="str">
        <f t="shared" si="3"/>
        <v>COMMENT ON COLUMN clinic.clinc_id IS '科室标识';</v>
      </c>
      <c r="AD106" s="4" t="str">
        <f>"CREATE SEQUENCE seq_"&amp;D106&amp;" MINVALUE 1 MAXVALUE 9999999999999999999 INCREMENT BY 1 START WITH 1 CACHE 20 NOORDER NOCYCLE ;"</f>
        <v>CREATE SEQUENCE seq_clinic MINVALUE 1 MAXVALUE 9999999999999999999 INCREMENT BY 1 START WITH 1 CACHE 20 NOORDER NOCYCLE ;</v>
      </c>
      <c r="AE106" s="5"/>
    </row>
    <row r="107" spans="1:31">
      <c r="A107" s="3">
        <v>87</v>
      </c>
      <c r="B107" s="7" t="s">
        <v>257</v>
      </c>
      <c r="C107" s="6"/>
      <c r="D107" s="7" t="s">
        <v>270</v>
      </c>
      <c r="E107" s="7" t="s">
        <v>260</v>
      </c>
      <c r="F107" s="7"/>
      <c r="G107" s="7" t="s">
        <v>261</v>
      </c>
      <c r="H107" s="7" t="s">
        <v>36</v>
      </c>
      <c r="I107" s="7" t="s">
        <v>128</v>
      </c>
      <c r="J107" s="7">
        <v>8</v>
      </c>
      <c r="K107" s="7">
        <v>8</v>
      </c>
      <c r="L107" s="7"/>
      <c r="M107" s="7"/>
      <c r="N107" s="7"/>
      <c r="O107" s="7"/>
      <c r="P107" s="7" t="s">
        <v>38</v>
      </c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 s="6"/>
      <c r="AB107" s="6" t="str">
        <f t="shared" si="5"/>
        <v xml:space="preserve">hospital_id NUMBER(8)  NOT NULL , </v>
      </c>
      <c r="AC107" s="6" t="str">
        <f t="shared" si="3"/>
        <v>COMMENT ON COLUMN clinic.hospital_id IS '医院标识';</v>
      </c>
      <c r="AD107" s="6"/>
    </row>
    <row r="108" spans="1:31">
      <c r="A108" s="3">
        <v>88</v>
      </c>
      <c r="B108" s="7" t="s">
        <v>257</v>
      </c>
      <c r="C108" s="6"/>
      <c r="D108" s="7" t="s">
        <v>270</v>
      </c>
      <c r="E108" s="7" t="s">
        <v>273</v>
      </c>
      <c r="F108" s="7"/>
      <c r="G108" s="7" t="s">
        <v>274</v>
      </c>
      <c r="H108" s="7" t="s">
        <v>36</v>
      </c>
      <c r="I108" s="7" t="s">
        <v>128</v>
      </c>
      <c r="J108" s="7">
        <v>8</v>
      </c>
      <c r="K108" s="7">
        <v>8</v>
      </c>
      <c r="L108" s="7"/>
      <c r="M108" s="7"/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 s="6"/>
      <c r="AB108" s="6" t="str">
        <f t="shared" si="5"/>
        <v xml:space="preserve">parent_id NUMBER(8)  , </v>
      </c>
      <c r="AC108" s="6" t="str">
        <f t="shared" si="3"/>
        <v>COMMENT ON COLUMN clinic.parent_id IS '上级科室标识';</v>
      </c>
      <c r="AD108" s="6"/>
    </row>
    <row r="109" spans="1:31">
      <c r="A109" s="3">
        <v>89</v>
      </c>
      <c r="B109" s="7" t="s">
        <v>257</v>
      </c>
      <c r="C109" s="6"/>
      <c r="D109" s="7" t="s">
        <v>275</v>
      </c>
      <c r="E109" s="7" t="s">
        <v>45</v>
      </c>
      <c r="F109" s="7"/>
      <c r="G109" s="7" t="s">
        <v>276</v>
      </c>
      <c r="H109" s="7" t="s">
        <v>47</v>
      </c>
      <c r="I109" s="7" t="s">
        <v>48</v>
      </c>
      <c r="J109" s="7">
        <v>50</v>
      </c>
      <c r="K109" s="7">
        <v>50</v>
      </c>
      <c r="L109" s="7"/>
      <c r="M109" s="7"/>
      <c r="N109" s="7"/>
      <c r="O109" s="7"/>
      <c r="P109" s="7" t="s">
        <v>38</v>
      </c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 s="6"/>
      <c r="AB109" s="6" t="str">
        <f>IF(D108=D109,"","CREATE TABLE "&amp;D109&amp;" (")&amp;E109&amp;" "&amp;H109&amp;IF(K109&lt;&gt;"","("&amp;K109&amp;") ","")&amp;IF(P109="Y"," NOT NULL","")&amp;IF(N109="Y"," PRIMARY KEY","")&amp;IF(D109=D112,"",")")&amp;IF(D109=D112," , ",";")</f>
        <v xml:space="preserve">code VARCHAR2(50)  NOT NULL , </v>
      </c>
      <c r="AC109" s="6" t="str">
        <f t="shared" si="3"/>
        <v>COMMENT ON COLUMN clinic.code IS '科室编码';</v>
      </c>
      <c r="AD109" s="6"/>
    </row>
    <row r="110" spans="1:31" s="5" customFormat="1">
      <c r="A110" s="3"/>
      <c r="B110" s="7" t="s">
        <v>257</v>
      </c>
      <c r="C110" s="6"/>
      <c r="D110" s="7" t="s">
        <v>275</v>
      </c>
      <c r="E110" t="s">
        <v>277</v>
      </c>
      <c r="F110"/>
      <c r="G110" t="s">
        <v>278</v>
      </c>
      <c r="H110" t="s">
        <v>47</v>
      </c>
      <c r="I110" s="7" t="s">
        <v>48</v>
      </c>
      <c r="J110">
        <v>20</v>
      </c>
      <c r="K110">
        <v>20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 t="str">
        <f t="shared" ref="AB110" si="6">IF(D109=D110,"","CREATE TABLE "&amp;D110&amp;" (")&amp;E110&amp;" "&amp;H110&amp;IF(K110&lt;&gt;"","("&amp;K110&amp;") ","")&amp;IF(P110="Y"," NOT NULL","")&amp;IF(N110="Y"," PRIMARY KEY","")&amp;IF(D110=D112,"",")")&amp;IF(D110=D112," , ",";")</f>
        <v xml:space="preserve">py_code VARCHAR2(20)  , </v>
      </c>
      <c r="AC110" s="6"/>
      <c r="AD110" s="6"/>
      <c r="AE110" s="8"/>
    </row>
    <row r="111" spans="1:31" s="5" customFormat="1">
      <c r="A111" s="3">
        <v>10</v>
      </c>
      <c r="B111" s="7" t="s">
        <v>257</v>
      </c>
      <c r="C111" s="6"/>
      <c r="D111" s="7" t="s">
        <v>275</v>
      </c>
      <c r="E111" t="s">
        <v>279</v>
      </c>
      <c r="F111"/>
      <c r="G111" t="s">
        <v>280</v>
      </c>
      <c r="H111" t="s">
        <v>47</v>
      </c>
      <c r="I111" s="7" t="s">
        <v>48</v>
      </c>
      <c r="J111">
        <v>20</v>
      </c>
      <c r="K111">
        <v>20</v>
      </c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 t="str">
        <f t="shared" ref="AB111" si="7">IF(D110=D111,"","CREATE TABLE "&amp;D111&amp;" (")&amp;E111&amp;" "&amp;H111&amp;IF(K111&lt;&gt;"","("&amp;K111&amp;") ","")&amp;IF(P111="Y"," NOT NULL","")&amp;IF(N111="Y"," PRIMARY KEY","")&amp;IF(D111=D112,"",")")&amp;IF(D111=D112," , ",";")</f>
        <v xml:space="preserve">d_code VARCHAR2(20)  , </v>
      </c>
      <c r="AC111" s="6" t="str">
        <f t="shared" ref="AC111" si="8">"COMMENT ON COLUMN "&amp;D111&amp;"."&amp;E111&amp;" IS '"&amp;G111&amp;"';"</f>
        <v>COMMENT ON COLUMN clinic.d_code IS '自定义编码';</v>
      </c>
      <c r="AD111" s="6" t="s">
        <v>44</v>
      </c>
      <c r="AE111" s="8" t="s">
        <v>44</v>
      </c>
    </row>
    <row r="112" spans="1:31">
      <c r="A112" s="3">
        <v>90</v>
      </c>
      <c r="B112" s="7" t="s">
        <v>257</v>
      </c>
      <c r="C112" s="6"/>
      <c r="D112" s="7" t="s">
        <v>275</v>
      </c>
      <c r="E112" s="7" t="s">
        <v>178</v>
      </c>
      <c r="F112" s="7"/>
      <c r="G112" s="7" t="s">
        <v>281</v>
      </c>
      <c r="H112" s="7" t="s">
        <v>47</v>
      </c>
      <c r="I112" s="7" t="s">
        <v>48</v>
      </c>
      <c r="J112" s="9">
        <v>20</v>
      </c>
      <c r="K112" s="9">
        <v>60</v>
      </c>
      <c r="L112" s="7"/>
      <c r="M112" s="7"/>
      <c r="N112" s="7"/>
      <c r="O112" s="7"/>
      <c r="P112" s="7" t="s">
        <v>38</v>
      </c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 s="6"/>
      <c r="AB112" s="6" t="str">
        <f>IF(D109=D112,"","CREATE TABLE "&amp;D112&amp;" (")&amp;E112&amp;" "&amp;H112&amp;IF(K112&lt;&gt;"","("&amp;K112&amp;") ","")&amp;IF(P112="Y"," NOT NULL","")&amp;IF(N112="Y"," PRIMARY KEY","")&amp;IF(D112=D113,"",")")&amp;IF(D112=D113," , ",";")</f>
        <v xml:space="preserve">name VARCHAR2(60)  NOT NULL , </v>
      </c>
      <c r="AC112" s="6" t="str">
        <f t="shared" si="3"/>
        <v>COMMENT ON COLUMN clinic.name IS '科室名称';</v>
      </c>
      <c r="AD112" s="6"/>
    </row>
    <row r="113" spans="1:31">
      <c r="A113" s="3">
        <v>91</v>
      </c>
      <c r="B113" s="7" t="s">
        <v>257</v>
      </c>
      <c r="C113" s="6"/>
      <c r="D113" s="7" t="s">
        <v>275</v>
      </c>
      <c r="E113" s="7" t="s">
        <v>282</v>
      </c>
      <c r="F113" s="7"/>
      <c r="G113" s="7" t="s">
        <v>283</v>
      </c>
      <c r="H113" s="7" t="s">
        <v>47</v>
      </c>
      <c r="I113" s="7" t="s">
        <v>48</v>
      </c>
      <c r="J113" s="9">
        <v>200</v>
      </c>
      <c r="K113" s="9">
        <v>600</v>
      </c>
      <c r="L113" s="7"/>
      <c r="M113" s="7"/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 s="6"/>
      <c r="AB113" s="6" t="str">
        <f t="shared" si="5"/>
        <v xml:space="preserve">introduction VARCHAR2(600)  , </v>
      </c>
      <c r="AC113" s="6" t="str">
        <f t="shared" si="3"/>
        <v>COMMENT ON COLUMN clinic.introduction IS '科室介绍';</v>
      </c>
      <c r="AD113" s="6"/>
    </row>
    <row r="114" spans="1:31">
      <c r="A114" s="3"/>
      <c r="B114" s="7"/>
      <c r="C114" s="6"/>
      <c r="D114" s="7" t="s">
        <v>275</v>
      </c>
      <c r="E114" s="10" t="s">
        <v>267</v>
      </c>
      <c r="F114" s="10"/>
      <c r="G114" s="10" t="s">
        <v>268</v>
      </c>
      <c r="H114" s="7" t="s">
        <v>36</v>
      </c>
      <c r="I114" s="7" t="s">
        <v>128</v>
      </c>
      <c r="J114" s="9">
        <v>1</v>
      </c>
      <c r="K114" s="9">
        <v>1</v>
      </c>
      <c r="L114" s="7"/>
      <c r="M114" s="7"/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 s="6"/>
      <c r="AB114" s="6" t="str">
        <f t="shared" si="5"/>
        <v>del_flag NUMBER(1) );</v>
      </c>
      <c r="AC114" s="6"/>
      <c r="AD114" s="6"/>
    </row>
    <row r="115" spans="1:31">
      <c r="A115" s="3">
        <v>92</v>
      </c>
      <c r="B115" s="3" t="s">
        <v>257</v>
      </c>
      <c r="C115" s="3" t="s">
        <v>284</v>
      </c>
      <c r="D115" s="3" t="s">
        <v>285</v>
      </c>
      <c r="E115" s="3" t="s">
        <v>286</v>
      </c>
      <c r="F115" s="3"/>
      <c r="G115" s="3" t="s">
        <v>287</v>
      </c>
      <c r="H115" s="3" t="s">
        <v>36</v>
      </c>
      <c r="I115" s="3" t="s">
        <v>177</v>
      </c>
      <c r="J115" s="3">
        <v>11</v>
      </c>
      <c r="K115" s="3">
        <v>11</v>
      </c>
      <c r="L115" s="3"/>
      <c r="M115" s="3"/>
      <c r="N115" s="3" t="s">
        <v>38</v>
      </c>
      <c r="O115" s="3"/>
      <c r="P115" s="3" t="s">
        <v>38</v>
      </c>
      <c r="Q115" s="3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 t="str">
        <f>IF(D113=D115,"","CREATE TABLE "&amp;D115&amp;" (")&amp;E115&amp;" "&amp;H115&amp;IF(K115&lt;&gt;"","("&amp;K115&amp;") ","")&amp;IF(P115="Y"," NOT NULL","")&amp;IF(N115="Y"," PRIMARY KEY","")&amp;IF(D115=D116,"",")")&amp;IF(D115=D116," , ",";")</f>
        <v xml:space="preserve">CREATE TABLE doctor (doctor_id NUMBER(11)  NOT NULL PRIMARY KEY , </v>
      </c>
      <c r="AC115" s="4" t="str">
        <f t="shared" si="3"/>
        <v>COMMENT ON COLUMN doctor.doctor_id IS '医生标识';</v>
      </c>
      <c r="AD115" s="4" t="str">
        <f>"CREATE SEQUENCE seq_"&amp;D115&amp;" MINVALUE 1 MAXVALUE 9999999999999999999 INCREMENT BY 1 START WITH 1 CACHE 20 NOORDER NOCYCLE ;"</f>
        <v>CREATE SEQUENCE seq_doctor MINVALUE 1 MAXVALUE 9999999999999999999 INCREMENT BY 1 START WITH 1 CACHE 20 NOORDER NOCYCLE ;</v>
      </c>
      <c r="AE115" s="5"/>
    </row>
    <row r="116" spans="1:31">
      <c r="A116" s="3">
        <v>93</v>
      </c>
      <c r="B116" s="7" t="s">
        <v>257</v>
      </c>
      <c r="C116" s="6"/>
      <c r="D116" s="7" t="s">
        <v>288</v>
      </c>
      <c r="E116" s="7" t="s">
        <v>289</v>
      </c>
      <c r="F116" s="7"/>
      <c r="G116" s="7" t="s">
        <v>272</v>
      </c>
      <c r="H116" s="7" t="s">
        <v>36</v>
      </c>
      <c r="I116" s="7" t="s">
        <v>128</v>
      </c>
      <c r="J116" s="7">
        <v>8</v>
      </c>
      <c r="K116" s="7">
        <v>8</v>
      </c>
      <c r="L116" s="7"/>
      <c r="M116" s="7"/>
      <c r="N116" s="7"/>
      <c r="O116" s="7"/>
      <c r="P116" s="7"/>
      <c r="Q116" s="7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 t="str">
        <f t="shared" si="5"/>
        <v xml:space="preserve">clinic_id NUMBER(8)  , </v>
      </c>
      <c r="AC116" s="6" t="str">
        <f t="shared" si="3"/>
        <v>COMMENT ON COLUMN doctor.clinic_id IS '科室标识';</v>
      </c>
      <c r="AD116" s="6"/>
    </row>
    <row r="117" spans="1:31">
      <c r="A117" s="3">
        <v>94</v>
      </c>
      <c r="B117" s="7" t="s">
        <v>257</v>
      </c>
      <c r="C117" s="6"/>
      <c r="D117" s="7" t="s">
        <v>288</v>
      </c>
      <c r="E117" s="7" t="s">
        <v>290</v>
      </c>
      <c r="F117" s="7"/>
      <c r="G117" s="10" t="s">
        <v>291</v>
      </c>
      <c r="H117" s="7" t="s">
        <v>47</v>
      </c>
      <c r="I117" s="7" t="s">
        <v>48</v>
      </c>
      <c r="J117" s="7">
        <v>20</v>
      </c>
      <c r="K117" s="7">
        <v>20</v>
      </c>
      <c r="L117" s="7"/>
      <c r="M117" s="7"/>
      <c r="N117" s="7"/>
      <c r="O117" s="7"/>
      <c r="P117" s="7" t="s">
        <v>38</v>
      </c>
      <c r="Q117" s="7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 t="str">
        <f t="shared" si="5"/>
        <v xml:space="preserve">employee_num VARCHAR2(20)  NOT NULL , </v>
      </c>
      <c r="AC117" s="6" t="str">
        <f t="shared" si="3"/>
        <v>COMMENT ON COLUMN doctor.employee_num IS '工号';</v>
      </c>
      <c r="AD117" s="6"/>
    </row>
    <row r="118" spans="1:31">
      <c r="A118" s="3">
        <v>95</v>
      </c>
      <c r="B118" s="7" t="s">
        <v>257</v>
      </c>
      <c r="C118" s="6"/>
      <c r="D118" s="7" t="s">
        <v>288</v>
      </c>
      <c r="E118" s="7" t="s">
        <v>49</v>
      </c>
      <c r="F118" s="7"/>
      <c r="G118" s="7" t="s">
        <v>292</v>
      </c>
      <c r="H118" s="7" t="s">
        <v>47</v>
      </c>
      <c r="I118" s="7" t="s">
        <v>48</v>
      </c>
      <c r="J118" s="7">
        <v>10</v>
      </c>
      <c r="K118" s="7">
        <v>30</v>
      </c>
      <c r="L118" s="7"/>
      <c r="M118" s="7"/>
      <c r="N118" s="7"/>
      <c r="O118" s="7"/>
      <c r="P118" s="7" t="s">
        <v>38</v>
      </c>
      <c r="Q118" s="7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 t="str">
        <f t="shared" si="5"/>
        <v xml:space="preserve">name VARCHAR2(30)  NOT NULL , </v>
      </c>
      <c r="AC118" s="6" t="str">
        <f t="shared" ref="AC118:AC186" si="9">"COMMENT ON COLUMN "&amp;D118&amp;"."&amp;E118&amp;" IS '"&amp;G118&amp;"';"</f>
        <v>COMMENT ON COLUMN doctor.name IS '姓名';</v>
      </c>
      <c r="AD118" s="6"/>
    </row>
    <row r="119" spans="1:31">
      <c r="A119" s="3">
        <v>96</v>
      </c>
      <c r="B119" s="7" t="s">
        <v>257</v>
      </c>
      <c r="C119" s="6"/>
      <c r="D119" s="7" t="s">
        <v>288</v>
      </c>
      <c r="E119" s="7" t="s">
        <v>293</v>
      </c>
      <c r="F119" s="7"/>
      <c r="G119" s="7" t="s">
        <v>294</v>
      </c>
      <c r="H119" s="7" t="s">
        <v>36</v>
      </c>
      <c r="I119" s="7" t="s">
        <v>128</v>
      </c>
      <c r="J119" s="7">
        <v>4</v>
      </c>
      <c r="K119" s="7">
        <v>4</v>
      </c>
      <c r="L119" s="7"/>
      <c r="M119" s="7"/>
      <c r="N119" s="7"/>
      <c r="O119" s="7"/>
      <c r="P119" s="7"/>
      <c r="Q119" s="7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 t="str">
        <f t="shared" si="5"/>
        <v xml:space="preserve">employee_category NUMBER(4)  , </v>
      </c>
      <c r="AC119" s="6" t="str">
        <f t="shared" si="9"/>
        <v>COMMENT ON COLUMN doctor.employee_category IS '职工类别';</v>
      </c>
      <c r="AD119" s="6"/>
    </row>
    <row r="120" spans="1:31">
      <c r="A120" s="3">
        <v>97</v>
      </c>
      <c r="B120" s="7" t="s">
        <v>257</v>
      </c>
      <c r="C120" s="6"/>
      <c r="D120" s="7" t="s">
        <v>288</v>
      </c>
      <c r="E120" s="7" t="s">
        <v>295</v>
      </c>
      <c r="F120" s="7"/>
      <c r="G120" s="7" t="s">
        <v>296</v>
      </c>
      <c r="H120" s="7" t="s">
        <v>108</v>
      </c>
      <c r="I120" s="7" t="s">
        <v>48</v>
      </c>
      <c r="J120" s="7">
        <v>50</v>
      </c>
      <c r="K120" s="7">
        <v>50</v>
      </c>
      <c r="L120" s="7"/>
      <c r="M120" s="7"/>
      <c r="N120" s="7"/>
      <c r="O120" s="7"/>
      <c r="P120" s="7"/>
      <c r="Q120" s="7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 t="str">
        <f t="shared" si="5"/>
        <v xml:space="preserve">administrative_rank VARCHAR2(50)  , </v>
      </c>
      <c r="AC120" s="6" t="str">
        <f t="shared" si="9"/>
        <v>COMMENT ON COLUMN doctor.administrative_rank IS '行政职务';</v>
      </c>
      <c r="AD120" s="6"/>
    </row>
    <row r="121" spans="1:31">
      <c r="A121" s="3">
        <v>98</v>
      </c>
      <c r="B121" s="7" t="s">
        <v>257</v>
      </c>
      <c r="C121" s="6"/>
      <c r="D121" s="7" t="s">
        <v>285</v>
      </c>
      <c r="E121" s="7" t="s">
        <v>297</v>
      </c>
      <c r="F121" s="7"/>
      <c r="G121" s="7" t="s">
        <v>298</v>
      </c>
      <c r="H121" s="7" t="s">
        <v>47</v>
      </c>
      <c r="I121" s="7" t="s">
        <v>48</v>
      </c>
      <c r="J121" s="7">
        <v>20</v>
      </c>
      <c r="K121" s="7">
        <v>20</v>
      </c>
      <c r="L121" s="7"/>
      <c r="M121" s="7"/>
      <c r="N121" s="7"/>
      <c r="O121" s="7"/>
      <c r="P121" s="7"/>
      <c r="Q121" s="7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 t="str">
        <f t="shared" si="5"/>
        <v xml:space="preserve">position VARCHAR2(20)  , </v>
      </c>
      <c r="AC121" s="6" t="str">
        <f t="shared" si="9"/>
        <v>COMMENT ON COLUMN doctor.position IS '医生职位';</v>
      </c>
      <c r="AD121" s="6"/>
    </row>
    <row r="122" spans="1:31">
      <c r="A122" s="3">
        <v>99</v>
      </c>
      <c r="B122" s="7" t="s">
        <v>257</v>
      </c>
      <c r="C122" s="6"/>
      <c r="D122" s="7" t="s">
        <v>285</v>
      </c>
      <c r="E122" s="7" t="s">
        <v>299</v>
      </c>
      <c r="F122" s="7"/>
      <c r="G122" s="7" t="s">
        <v>300</v>
      </c>
      <c r="H122" s="7" t="s">
        <v>47</v>
      </c>
      <c r="I122" s="7" t="s">
        <v>48</v>
      </c>
      <c r="J122" s="7">
        <v>20</v>
      </c>
      <c r="K122" s="7">
        <v>60</v>
      </c>
      <c r="L122" s="7"/>
      <c r="M122" s="7"/>
      <c r="N122" s="7"/>
      <c r="O122" s="7"/>
      <c r="P122" s="7"/>
      <c r="Q122" s="7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 t="str">
        <f t="shared" si="5"/>
        <v xml:space="preserve">job_title VARCHAR2(60)  , </v>
      </c>
      <c r="AC122" s="6" t="str">
        <f t="shared" si="9"/>
        <v>COMMENT ON COLUMN doctor.job_title IS '职称';</v>
      </c>
      <c r="AD122" s="6"/>
    </row>
    <row r="123" spans="1:31">
      <c r="A123" s="3">
        <v>100</v>
      </c>
      <c r="B123" s="7" t="s">
        <v>257</v>
      </c>
      <c r="C123" s="6"/>
      <c r="D123" s="7" t="s">
        <v>288</v>
      </c>
      <c r="E123" s="7" t="s">
        <v>301</v>
      </c>
      <c r="F123" s="7"/>
      <c r="G123" s="7" t="s">
        <v>302</v>
      </c>
      <c r="H123" s="7" t="s">
        <v>47</v>
      </c>
      <c r="I123" s="7" t="s">
        <v>48</v>
      </c>
      <c r="J123" s="7">
        <v>50</v>
      </c>
      <c r="K123" s="7">
        <v>50</v>
      </c>
      <c r="L123" s="7"/>
      <c r="M123" s="7"/>
      <c r="N123" s="7"/>
      <c r="O123" s="7"/>
      <c r="P123" s="7"/>
      <c r="Q123" s="7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 t="str">
        <f t="shared" si="5"/>
        <v xml:space="preserve">specialty VARCHAR2(50)  , </v>
      </c>
      <c r="AC123" s="6" t="str">
        <f t="shared" si="9"/>
        <v>COMMENT ON COLUMN doctor.specialty IS '专长';</v>
      </c>
      <c r="AD123" s="6"/>
    </row>
    <row r="124" spans="1:31">
      <c r="A124" s="3">
        <v>101</v>
      </c>
      <c r="B124" s="7" t="s">
        <v>257</v>
      </c>
      <c r="C124" s="6"/>
      <c r="D124" s="7" t="s">
        <v>288</v>
      </c>
      <c r="E124" s="10" t="s">
        <v>303</v>
      </c>
      <c r="F124" s="10"/>
      <c r="G124" s="10" t="s">
        <v>304</v>
      </c>
      <c r="H124" s="7" t="s">
        <v>47</v>
      </c>
      <c r="I124" s="7" t="s">
        <v>48</v>
      </c>
      <c r="J124" s="7">
        <v>20</v>
      </c>
      <c r="K124" s="7">
        <v>20</v>
      </c>
      <c r="L124" s="7"/>
      <c r="M124" s="7"/>
      <c r="N124" s="7"/>
      <c r="O124" s="7"/>
      <c r="P124" s="7"/>
      <c r="Q124" s="7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 t="str">
        <f t="shared" si="5"/>
        <v xml:space="preserve">telephone_number VARCHAR2(20)  , </v>
      </c>
      <c r="AC124" s="6" t="str">
        <f t="shared" si="9"/>
        <v>COMMENT ON COLUMN doctor.telephone_number IS '联系电话';</v>
      </c>
      <c r="AD124" s="6"/>
    </row>
    <row r="125" spans="1:31">
      <c r="A125" s="3">
        <v>102</v>
      </c>
      <c r="B125" s="7" t="s">
        <v>257</v>
      </c>
      <c r="C125" s="6"/>
      <c r="D125" s="7" t="s">
        <v>288</v>
      </c>
      <c r="E125" s="13" t="s">
        <v>305</v>
      </c>
      <c r="F125" s="13"/>
      <c r="G125" s="10" t="s">
        <v>306</v>
      </c>
      <c r="H125" s="10" t="s">
        <v>36</v>
      </c>
      <c r="I125" s="10" t="s">
        <v>177</v>
      </c>
      <c r="J125" s="9">
        <v>11</v>
      </c>
      <c r="K125" s="9">
        <v>11</v>
      </c>
      <c r="L125" s="7"/>
      <c r="M125" s="7"/>
      <c r="N125" s="7"/>
      <c r="O125" s="7"/>
      <c r="P125" s="7"/>
      <c r="Q125" s="7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 t="str">
        <f t="shared" si="5"/>
        <v xml:space="preserve">creator NUMBER(11)  , </v>
      </c>
      <c r="AC125" s="6" t="str">
        <f t="shared" si="9"/>
        <v>COMMENT ON COLUMN doctor.creator IS '创建者标识';</v>
      </c>
      <c r="AD125" s="6"/>
    </row>
    <row r="126" spans="1:31">
      <c r="A126" s="3">
        <v>103</v>
      </c>
      <c r="B126" s="7" t="s">
        <v>257</v>
      </c>
      <c r="C126" s="6"/>
      <c r="D126" s="7" t="s">
        <v>288</v>
      </c>
      <c r="E126" s="13" t="s">
        <v>307</v>
      </c>
      <c r="F126" s="13"/>
      <c r="G126" s="10" t="s">
        <v>308</v>
      </c>
      <c r="H126" s="10" t="s">
        <v>309</v>
      </c>
      <c r="I126" s="7" t="s">
        <v>187</v>
      </c>
      <c r="J126" s="14"/>
      <c r="K126" s="14"/>
      <c r="L126" s="7"/>
      <c r="M126" s="7"/>
      <c r="N126" s="7"/>
      <c r="O126" s="7"/>
      <c r="P126" s="7"/>
      <c r="Q126" s="7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 t="str">
        <f t="shared" si="5"/>
        <v xml:space="preserve">create_time DATE , </v>
      </c>
      <c r="AC126" s="6" t="str">
        <f t="shared" si="9"/>
        <v>COMMENT ON COLUMN doctor.create_time IS '创建时间';</v>
      </c>
      <c r="AD126" s="6"/>
    </row>
    <row r="127" spans="1:31">
      <c r="A127" s="3"/>
      <c r="B127" s="7"/>
      <c r="C127" s="6"/>
      <c r="D127" s="7" t="s">
        <v>288</v>
      </c>
      <c r="E127" s="10" t="s">
        <v>267</v>
      </c>
      <c r="F127" s="10"/>
      <c r="G127" s="10" t="s">
        <v>268</v>
      </c>
      <c r="H127" s="7" t="s">
        <v>36</v>
      </c>
      <c r="I127" s="7" t="s">
        <v>128</v>
      </c>
      <c r="J127" s="9">
        <v>1</v>
      </c>
      <c r="K127" s="9">
        <v>1</v>
      </c>
      <c r="L127" s="7"/>
      <c r="M127" s="7"/>
      <c r="N127" s="7"/>
      <c r="O127" s="7"/>
      <c r="P127" s="7"/>
      <c r="Q127" s="7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 t="str">
        <f t="shared" si="5"/>
        <v>del_flag NUMBER(1) );</v>
      </c>
      <c r="AC127" s="6"/>
      <c r="AD127" s="6"/>
    </row>
    <row r="128" spans="1:31">
      <c r="A128" s="3">
        <v>104</v>
      </c>
      <c r="B128" s="3" t="s">
        <v>257</v>
      </c>
      <c r="C128" s="4" t="s">
        <v>310</v>
      </c>
      <c r="D128" s="3" t="s">
        <v>311</v>
      </c>
      <c r="E128" s="3" t="s">
        <v>312</v>
      </c>
      <c r="F128" s="3"/>
      <c r="G128" s="3" t="s">
        <v>313</v>
      </c>
      <c r="H128" s="3" t="s">
        <v>36</v>
      </c>
      <c r="I128" s="3" t="s">
        <v>177</v>
      </c>
      <c r="J128" s="3">
        <v>11</v>
      </c>
      <c r="K128" s="3">
        <v>11</v>
      </c>
      <c r="L128" s="3"/>
      <c r="M128" s="3"/>
      <c r="N128" s="3" t="s">
        <v>38</v>
      </c>
      <c r="O128" s="3"/>
      <c r="P128" s="3" t="s">
        <v>38</v>
      </c>
      <c r="Q128" s="3"/>
      <c r="R128" s="3"/>
      <c r="S128" s="4"/>
      <c r="T128" s="4"/>
      <c r="U128" s="4"/>
      <c r="V128" s="4"/>
      <c r="W128" s="4"/>
      <c r="X128" s="4"/>
      <c r="Y128" s="4"/>
      <c r="Z128" s="4"/>
      <c r="AA128" s="4"/>
      <c r="AB128" s="4" t="str">
        <f>IF(D126=D128,"","CREATE TABLE "&amp;D128&amp;" (")&amp;E128&amp;" "&amp;H128&amp;IF(K128&lt;&gt;"","("&amp;K128&amp;") ","")&amp;IF(P128="Y"," NOT NULL","")&amp;IF(N128="Y"," PRIMARY KEY","")&amp;IF(D128=D129,"",")")&amp;IF(D128=D129," , ",";")</f>
        <v xml:space="preserve">CREATE TABLE patient (patient_id NUMBER(11)  NOT NULL PRIMARY KEY , </v>
      </c>
      <c r="AC128" s="4" t="str">
        <f t="shared" si="9"/>
        <v>COMMENT ON COLUMN patient.patient_id IS '患者标识';</v>
      </c>
      <c r="AD128" s="4" t="str">
        <f>"CREATE SEQUENCE seq_"&amp;D128&amp;" MINVALUE 1 MAXVALUE 9999999999999999999 INCREMENT BY 1 START WITH 1 CACHE 20 NOORDER NOCYCLE ;"</f>
        <v>CREATE SEQUENCE seq_patient MINVALUE 1 MAXVALUE 9999999999999999999 INCREMENT BY 1 START WITH 1 CACHE 20 NOORDER NOCYCLE ;</v>
      </c>
      <c r="AE128" s="5"/>
    </row>
    <row r="129" spans="1:30">
      <c r="A129" s="3">
        <v>105</v>
      </c>
      <c r="B129" s="7" t="s">
        <v>257</v>
      </c>
      <c r="C129" s="6"/>
      <c r="D129" s="7" t="s">
        <v>314</v>
      </c>
      <c r="E129" s="7" t="s">
        <v>315</v>
      </c>
      <c r="F129" s="7"/>
      <c r="G129" s="7" t="s">
        <v>316</v>
      </c>
      <c r="H129" s="7" t="s">
        <v>108</v>
      </c>
      <c r="I129" s="7" t="s">
        <v>48</v>
      </c>
      <c r="J129" s="7">
        <v>50</v>
      </c>
      <c r="K129" s="7">
        <v>50</v>
      </c>
      <c r="L129" s="7"/>
      <c r="M129" s="7"/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 s="6"/>
      <c r="AB129" s="6" t="str">
        <f t="shared" si="5"/>
        <v xml:space="preserve">patient_his_id VARCHAR2(50)  , </v>
      </c>
      <c r="AC129" s="6" t="str">
        <f t="shared" si="9"/>
        <v>COMMENT ON COLUMN patient.patient_his_id IS '患者医院HIS标识';</v>
      </c>
      <c r="AD129" s="6"/>
    </row>
    <row r="130" spans="1:30">
      <c r="A130" s="3">
        <v>106</v>
      </c>
      <c r="B130" s="7" t="s">
        <v>257</v>
      </c>
      <c r="C130" s="6"/>
      <c r="D130" s="7" t="s">
        <v>314</v>
      </c>
      <c r="E130" s="7" t="s">
        <v>317</v>
      </c>
      <c r="F130" s="7"/>
      <c r="G130" s="7" t="s">
        <v>318</v>
      </c>
      <c r="H130" s="7" t="s">
        <v>108</v>
      </c>
      <c r="I130" s="7" t="s">
        <v>48</v>
      </c>
      <c r="J130" s="7">
        <v>50</v>
      </c>
      <c r="K130" s="7">
        <v>50</v>
      </c>
      <c r="L130" s="7"/>
      <c r="M130" s="7"/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 s="6"/>
      <c r="AB130" s="6" t="str">
        <f t="shared" si="5"/>
        <v xml:space="preserve">health_card_id VARCHAR2(50)  , </v>
      </c>
      <c r="AC130" s="6" t="str">
        <f t="shared" si="9"/>
        <v>COMMENT ON COLUMN patient.health_card_id IS '医保号';</v>
      </c>
      <c r="AD130" s="6"/>
    </row>
    <row r="131" spans="1:30">
      <c r="A131" s="3">
        <v>107</v>
      </c>
      <c r="B131" s="7" t="s">
        <v>257</v>
      </c>
      <c r="C131" s="6"/>
      <c r="D131" s="7" t="s">
        <v>314</v>
      </c>
      <c r="E131" s="7" t="s">
        <v>319</v>
      </c>
      <c r="F131" s="7"/>
      <c r="G131" s="7" t="s">
        <v>320</v>
      </c>
      <c r="H131" s="7" t="s">
        <v>47</v>
      </c>
      <c r="I131" s="7" t="s">
        <v>48</v>
      </c>
      <c r="J131" s="7">
        <v>20</v>
      </c>
      <c r="K131" s="7">
        <v>20</v>
      </c>
      <c r="L131" s="7"/>
      <c r="M131" s="7"/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 s="6"/>
      <c r="AB131" s="6" t="str">
        <f t="shared" si="5"/>
        <v xml:space="preserve">defray_type VARCHAR2(20)  , </v>
      </c>
      <c r="AC131" s="6" t="str">
        <f t="shared" si="9"/>
        <v>COMMENT ON COLUMN patient.defray_type IS '费用支付类别';</v>
      </c>
      <c r="AD131" s="6"/>
    </row>
    <row r="132" spans="1:30">
      <c r="A132" s="3">
        <v>108</v>
      </c>
      <c r="B132" s="7" t="s">
        <v>257</v>
      </c>
      <c r="C132" s="6"/>
      <c r="D132" s="7" t="s">
        <v>314</v>
      </c>
      <c r="E132" s="7" t="s">
        <v>49</v>
      </c>
      <c r="F132" s="7"/>
      <c r="G132" s="7" t="s">
        <v>179</v>
      </c>
      <c r="H132" s="7" t="s">
        <v>47</v>
      </c>
      <c r="I132" s="7" t="s">
        <v>48</v>
      </c>
      <c r="J132" s="7">
        <v>10</v>
      </c>
      <c r="K132" s="9">
        <v>30</v>
      </c>
      <c r="L132" s="7"/>
      <c r="M132" s="7"/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 s="6"/>
      <c r="AB132" s="6" t="str">
        <f t="shared" si="5"/>
        <v xml:space="preserve">name VARCHAR2(30)  , </v>
      </c>
      <c r="AC132" s="6" t="str">
        <f t="shared" si="9"/>
        <v>COMMENT ON COLUMN patient.name IS '姓名';</v>
      </c>
      <c r="AD132" s="6"/>
    </row>
    <row r="133" spans="1:30">
      <c r="A133" s="3">
        <v>109</v>
      </c>
      <c r="B133" s="7" t="s">
        <v>257</v>
      </c>
      <c r="C133" s="6"/>
      <c r="D133" s="7" t="s">
        <v>314</v>
      </c>
      <c r="E133" s="7" t="s">
        <v>321</v>
      </c>
      <c r="F133" s="7"/>
      <c r="G133" s="7" t="s">
        <v>183</v>
      </c>
      <c r="H133" s="7" t="s">
        <v>36</v>
      </c>
      <c r="I133" s="7" t="s">
        <v>128</v>
      </c>
      <c r="J133" s="7">
        <v>1</v>
      </c>
      <c r="K133" s="7">
        <v>1</v>
      </c>
      <c r="L133" s="7"/>
      <c r="M133" s="7"/>
      <c r="N133" s="7"/>
      <c r="O133" s="7"/>
      <c r="P133" s="7" t="s">
        <v>38</v>
      </c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 s="6"/>
      <c r="AB133" s="6" t="str">
        <f t="shared" si="5"/>
        <v xml:space="preserve">gender NUMBER(1)  NOT NULL , </v>
      </c>
      <c r="AC133" s="6" t="str">
        <f t="shared" si="9"/>
        <v>COMMENT ON COLUMN patient.gender IS '性别';</v>
      </c>
      <c r="AD133" s="6"/>
    </row>
    <row r="134" spans="1:30">
      <c r="A134" s="3">
        <v>110</v>
      </c>
      <c r="B134" s="7" t="s">
        <v>257</v>
      </c>
      <c r="C134" s="6"/>
      <c r="D134" s="7" t="s">
        <v>314</v>
      </c>
      <c r="E134" s="7" t="s">
        <v>184</v>
      </c>
      <c r="F134" s="7"/>
      <c r="G134" s="7" t="s">
        <v>185</v>
      </c>
      <c r="H134" s="7" t="s">
        <v>186</v>
      </c>
      <c r="I134" s="7" t="s">
        <v>187</v>
      </c>
      <c r="J134" s="7"/>
      <c r="K134" s="7"/>
      <c r="L134" s="7"/>
      <c r="M134" s="7"/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 s="6"/>
      <c r="AB134" s="6" t="str">
        <f t="shared" si="5"/>
        <v xml:space="preserve">birth_date DATE , </v>
      </c>
      <c r="AC134" s="6" t="str">
        <f t="shared" si="9"/>
        <v>COMMENT ON COLUMN patient.birth_date IS '出生日期';</v>
      </c>
      <c r="AD134" s="6"/>
    </row>
    <row r="135" spans="1:30">
      <c r="A135" s="3">
        <v>111</v>
      </c>
      <c r="B135" s="7" t="s">
        <v>257</v>
      </c>
      <c r="C135" s="6"/>
      <c r="D135" s="7" t="s">
        <v>314</v>
      </c>
      <c r="E135" s="7" t="s">
        <v>322</v>
      </c>
      <c r="F135" s="7"/>
      <c r="G135" s="7" t="s">
        <v>323</v>
      </c>
      <c r="H135" s="7" t="s">
        <v>47</v>
      </c>
      <c r="I135" s="7" t="s">
        <v>48</v>
      </c>
      <c r="J135" s="7">
        <v>20</v>
      </c>
      <c r="K135" s="7">
        <v>20</v>
      </c>
      <c r="L135" s="7"/>
      <c r="M135" s="7"/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 s="6"/>
      <c r="AB135" s="6" t="str">
        <f t="shared" si="5"/>
        <v xml:space="preserve">cert_type VARCHAR2(20)  , </v>
      </c>
      <c r="AC135" s="6" t="str">
        <f t="shared" si="9"/>
        <v>COMMENT ON COLUMN patient.cert_type IS '证件类别';</v>
      </c>
      <c r="AD135" s="6"/>
    </row>
    <row r="136" spans="1:30">
      <c r="A136" s="3">
        <v>112</v>
      </c>
      <c r="B136" s="7" t="s">
        <v>257</v>
      </c>
      <c r="C136" s="6"/>
      <c r="D136" s="7" t="s">
        <v>314</v>
      </c>
      <c r="E136" s="7" t="s">
        <v>324</v>
      </c>
      <c r="F136" s="7"/>
      <c r="G136" s="7" t="s">
        <v>325</v>
      </c>
      <c r="H136" s="10" t="s">
        <v>108</v>
      </c>
      <c r="I136" s="7" t="s">
        <v>48</v>
      </c>
      <c r="J136" s="7">
        <v>18</v>
      </c>
      <c r="K136" s="7">
        <v>18</v>
      </c>
      <c r="L136" s="7"/>
      <c r="M136" s="7"/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 s="6"/>
      <c r="AB136" s="6" t="str">
        <f t="shared" si="5"/>
        <v xml:space="preserve">cert_id VARCHAR2(18)  , </v>
      </c>
      <c r="AC136" s="6" t="str">
        <f t="shared" si="9"/>
        <v>COMMENT ON COLUMN patient.cert_id IS '证件号码';</v>
      </c>
      <c r="AD136" s="6"/>
    </row>
    <row r="137" spans="1:30">
      <c r="A137" s="3">
        <v>113</v>
      </c>
      <c r="B137" s="7" t="s">
        <v>257</v>
      </c>
      <c r="C137" s="6"/>
      <c r="D137" s="7" t="s">
        <v>314</v>
      </c>
      <c r="E137" s="7" t="s">
        <v>326</v>
      </c>
      <c r="F137" s="7"/>
      <c r="G137" s="7" t="s">
        <v>327</v>
      </c>
      <c r="H137" s="7" t="s">
        <v>47</v>
      </c>
      <c r="I137" s="7" t="s">
        <v>48</v>
      </c>
      <c r="J137" s="9">
        <v>20</v>
      </c>
      <c r="K137" s="9">
        <v>60</v>
      </c>
      <c r="L137" s="7"/>
      <c r="M137" s="7"/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 s="6"/>
      <c r="AB137" s="6" t="str">
        <f t="shared" si="5"/>
        <v xml:space="preserve">unit_name VARCHAR2(60)  , </v>
      </c>
      <c r="AC137" s="6" t="str">
        <f t="shared" si="9"/>
        <v>COMMENT ON COLUMN patient.unit_name IS '工作单位名称';</v>
      </c>
      <c r="AD137" s="6"/>
    </row>
    <row r="138" spans="1:30">
      <c r="A138" s="3">
        <v>114</v>
      </c>
      <c r="B138" s="7" t="s">
        <v>257</v>
      </c>
      <c r="C138" s="6"/>
      <c r="D138" s="7" t="s">
        <v>314</v>
      </c>
      <c r="E138" s="7" t="s">
        <v>328</v>
      </c>
      <c r="F138" s="7"/>
      <c r="G138" s="7" t="s">
        <v>329</v>
      </c>
      <c r="H138" s="7" t="s">
        <v>47</v>
      </c>
      <c r="I138" s="7" t="s">
        <v>48</v>
      </c>
      <c r="J138" s="9">
        <v>100</v>
      </c>
      <c r="K138" s="9">
        <v>300</v>
      </c>
      <c r="L138" s="7"/>
      <c r="M138" s="7"/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 s="6"/>
      <c r="AB138" s="6" t="str">
        <f t="shared" si="5"/>
        <v xml:space="preserve">unit_address VARCHAR2(300)  , </v>
      </c>
      <c r="AC138" s="6" t="str">
        <f t="shared" si="9"/>
        <v>COMMENT ON COLUMN patient.unit_address IS '工作单位地址';</v>
      </c>
      <c r="AD138" s="6"/>
    </row>
    <row r="139" spans="1:30">
      <c r="A139" s="3">
        <v>115</v>
      </c>
      <c r="B139" s="7" t="s">
        <v>257</v>
      </c>
      <c r="C139" s="6"/>
      <c r="D139" s="7" t="s">
        <v>314</v>
      </c>
      <c r="E139" s="7" t="s">
        <v>330</v>
      </c>
      <c r="F139" s="7"/>
      <c r="G139" s="7" t="s">
        <v>331</v>
      </c>
      <c r="H139" s="7" t="s">
        <v>47</v>
      </c>
      <c r="I139" s="7" t="s">
        <v>48</v>
      </c>
      <c r="J139" s="7">
        <v>6</v>
      </c>
      <c r="K139" s="7">
        <v>6</v>
      </c>
      <c r="L139" s="7"/>
      <c r="M139" s="7"/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 s="6"/>
      <c r="AB139" s="6" t="str">
        <f t="shared" si="5"/>
        <v xml:space="preserve">unit_postcode VARCHAR2(6)  , </v>
      </c>
      <c r="AC139" s="6" t="str">
        <f t="shared" si="9"/>
        <v>COMMENT ON COLUMN patient.unit_postcode IS '工作单位邮编';</v>
      </c>
      <c r="AD139" s="6"/>
    </row>
    <row r="140" spans="1:30">
      <c r="A140" s="3">
        <v>116</v>
      </c>
      <c r="B140" s="7" t="s">
        <v>257</v>
      </c>
      <c r="C140" s="6"/>
      <c r="D140" s="7" t="s">
        <v>314</v>
      </c>
      <c r="E140" s="7" t="s">
        <v>332</v>
      </c>
      <c r="F140" s="7"/>
      <c r="G140" s="7" t="s">
        <v>333</v>
      </c>
      <c r="H140" s="7" t="s">
        <v>47</v>
      </c>
      <c r="I140" s="7" t="s">
        <v>48</v>
      </c>
      <c r="J140" s="7">
        <v>20</v>
      </c>
      <c r="K140" s="7">
        <v>20</v>
      </c>
      <c r="L140" s="7"/>
      <c r="M140" s="7"/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 s="6"/>
      <c r="AB140" s="6" t="str">
        <f>IF(D139=D140,"","CREATE TABLE "&amp;D140&amp;" (")&amp;E140&amp;" "&amp;H140&amp;IF(K140&lt;&gt;"","("&amp;K140&amp;") ","")&amp;IF(P140="Y"," NOT NULL","")&amp;IF(N140="Y"," PRIMARY KEY","")&amp;IF(D140=D142,"",")")&amp;IF(D140=D142," , ",";")</f>
        <v xml:space="preserve">unit_telephone VARCHAR2(20)  , </v>
      </c>
      <c r="AC140" s="6" t="str">
        <f t="shared" si="9"/>
        <v>COMMENT ON COLUMN patient.unit_telephone IS '工作单位电话';</v>
      </c>
      <c r="AD140" s="6"/>
    </row>
    <row r="141" spans="1:30">
      <c r="A141" s="3">
        <v>117</v>
      </c>
      <c r="B141" s="7" t="s">
        <v>257</v>
      </c>
      <c r="C141" s="6"/>
      <c r="D141" s="7" t="s">
        <v>314</v>
      </c>
      <c r="E141" s="7" t="s">
        <v>334</v>
      </c>
      <c r="F141" s="7"/>
      <c r="G141" s="7" t="s">
        <v>335</v>
      </c>
      <c r="H141" s="7" t="s">
        <v>336</v>
      </c>
      <c r="I141" s="7" t="s">
        <v>48</v>
      </c>
      <c r="J141" s="7">
        <v>50</v>
      </c>
      <c r="K141" s="7">
        <v>50</v>
      </c>
      <c r="L141" s="7"/>
      <c r="M141" s="7"/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 s="6"/>
      <c r="AB141" s="6" t="str">
        <f>IF(D140=D141,"","CREATE TABLE "&amp;D141&amp;" (")&amp;E141&amp;" "&amp;H141&amp;IF(K141&lt;&gt;"","("&amp;K141&amp;") ","")&amp;IF(P141="Y"," NOT NULL","")&amp;IF(N141="Y"," PRIMARY KEY","")&amp;IF(D141=D143,"",")")&amp;IF(D141=D143," , ",";")</f>
        <v xml:space="preserve">hospital_name VARCHAR2(50)  , </v>
      </c>
      <c r="AC141" s="6" t="str">
        <f t="shared" si="9"/>
        <v>COMMENT ON COLUMN patient.hospital_name IS '所在医院';</v>
      </c>
      <c r="AD141" s="6"/>
    </row>
    <row r="142" spans="1:30">
      <c r="A142" s="3">
        <v>118</v>
      </c>
      <c r="B142" s="7" t="s">
        <v>257</v>
      </c>
      <c r="C142" s="6"/>
      <c r="D142" s="7" t="s">
        <v>314</v>
      </c>
      <c r="E142" s="7" t="s">
        <v>337</v>
      </c>
      <c r="F142" s="7"/>
      <c r="G142" s="7" t="s">
        <v>338</v>
      </c>
      <c r="H142" s="10" t="s">
        <v>47</v>
      </c>
      <c r="I142" s="7" t="s">
        <v>48</v>
      </c>
      <c r="J142" s="9">
        <v>50</v>
      </c>
      <c r="K142" s="9">
        <v>50</v>
      </c>
      <c r="L142" s="7"/>
      <c r="M142" s="7"/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 s="6"/>
      <c r="AB142" s="6" t="str">
        <f>IF(D140=D142,"","CREATE TABLE "&amp;D142&amp;" (")&amp;E142&amp;" "&amp;H142&amp;IF(K142&lt;&gt;"","("&amp;K142&amp;") ","")&amp;IF(P142="Y"," NOT NULL","")&amp;IF(N142="Y"," PRIMARY KEY","")&amp;IF(D142=D143,"",")")&amp;IF(D142=D143," , ",";")</f>
        <v xml:space="preserve">clinic_name VARCHAR2(50)  , </v>
      </c>
      <c r="AC142" s="6" t="str">
        <f t="shared" si="9"/>
        <v>COMMENT ON COLUMN patient.clinic_name IS '所在科室';</v>
      </c>
      <c r="AD142" s="6"/>
    </row>
    <row r="143" spans="1:30">
      <c r="A143" s="3">
        <v>119</v>
      </c>
      <c r="B143" s="7" t="s">
        <v>257</v>
      </c>
      <c r="C143" s="6"/>
      <c r="D143" s="7" t="s">
        <v>314</v>
      </c>
      <c r="E143" s="7" t="s">
        <v>339</v>
      </c>
      <c r="F143" s="7"/>
      <c r="G143" s="7" t="s">
        <v>340</v>
      </c>
      <c r="H143" s="7" t="s">
        <v>47</v>
      </c>
      <c r="I143" s="7" t="s">
        <v>48</v>
      </c>
      <c r="J143" s="7">
        <v>20</v>
      </c>
      <c r="K143" s="7">
        <v>20</v>
      </c>
      <c r="L143" s="7"/>
      <c r="M143" s="7"/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 s="6"/>
      <c r="AB143" s="6" t="str">
        <f t="shared" si="5"/>
        <v xml:space="preserve">cellphone VARCHAR2(20)  , </v>
      </c>
      <c r="AC143" s="6" t="str">
        <f t="shared" si="9"/>
        <v>COMMENT ON COLUMN patient.cellphone IS '本人电话号码';</v>
      </c>
      <c r="AD143" s="6"/>
    </row>
    <row r="144" spans="1:30">
      <c r="A144" s="3">
        <v>119</v>
      </c>
      <c r="B144" s="7" t="s">
        <v>257</v>
      </c>
      <c r="C144" s="6"/>
      <c r="D144" s="7" t="s">
        <v>314</v>
      </c>
      <c r="E144" s="7" t="s">
        <v>341</v>
      </c>
      <c r="F144" s="7"/>
      <c r="G144" s="7" t="s">
        <v>342</v>
      </c>
      <c r="H144" s="7" t="s">
        <v>47</v>
      </c>
      <c r="I144" s="7" t="s">
        <v>48</v>
      </c>
      <c r="J144" s="7">
        <v>10</v>
      </c>
      <c r="K144" s="7">
        <v>30</v>
      </c>
      <c r="L144" s="7"/>
      <c r="M144" s="7"/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 s="6"/>
      <c r="AB144" s="6" t="str">
        <f t="shared" si="5"/>
        <v xml:space="preserve">contact_name VARCHAR2(30)  , </v>
      </c>
      <c r="AC144" s="6" t="str">
        <f t="shared" si="9"/>
        <v>COMMENT ON COLUMN patient.contact_name IS '联系人姓名';</v>
      </c>
      <c r="AD144" s="6"/>
    </row>
    <row r="145" spans="1:31">
      <c r="A145" s="3">
        <v>120</v>
      </c>
      <c r="B145" s="7" t="s">
        <v>257</v>
      </c>
      <c r="C145" s="6"/>
      <c r="D145" s="7" t="s">
        <v>314</v>
      </c>
      <c r="E145" s="7" t="s">
        <v>343</v>
      </c>
      <c r="F145" s="7"/>
      <c r="G145" s="7" t="s">
        <v>344</v>
      </c>
      <c r="H145" s="7" t="s">
        <v>47</v>
      </c>
      <c r="I145" s="7" t="s">
        <v>48</v>
      </c>
      <c r="J145" s="7">
        <v>20</v>
      </c>
      <c r="K145" s="7">
        <v>20</v>
      </c>
      <c r="L145" s="7"/>
      <c r="M145" s="7"/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 s="6"/>
      <c r="AB145" s="6" t="str">
        <f t="shared" si="5"/>
        <v xml:space="preserve">contact_telephone VARCHAR2(20)  , </v>
      </c>
      <c r="AC145" s="6" t="str">
        <f t="shared" si="9"/>
        <v>COMMENT ON COLUMN patient.contact_telephone IS '联系人电话号码';</v>
      </c>
      <c r="AD145" s="6"/>
    </row>
    <row r="146" spans="1:31">
      <c r="A146" s="3">
        <v>121</v>
      </c>
      <c r="B146" s="7" t="s">
        <v>257</v>
      </c>
      <c r="C146" s="6"/>
      <c r="D146" s="7" t="s">
        <v>314</v>
      </c>
      <c r="E146" s="7" t="s">
        <v>345</v>
      </c>
      <c r="F146" s="7"/>
      <c r="G146" s="7" t="s">
        <v>346</v>
      </c>
      <c r="H146" s="7" t="s">
        <v>262</v>
      </c>
      <c r="I146" s="7" t="s">
        <v>128</v>
      </c>
      <c r="J146" s="7">
        <v>2</v>
      </c>
      <c r="K146" s="7">
        <v>2</v>
      </c>
      <c r="L146" s="7"/>
      <c r="M146" s="7"/>
      <c r="N146" s="7"/>
      <c r="O146" s="7"/>
      <c r="P146" s="7" t="s">
        <v>38</v>
      </c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 s="6"/>
      <c r="AB146" s="6" t="str">
        <f t="shared" si="5"/>
        <v xml:space="preserve">relation_of_patient NUMBER(2)  NOT NULL , </v>
      </c>
      <c r="AC146" s="6" t="str">
        <f t="shared" si="9"/>
        <v>COMMENT ON COLUMN patient.relation_of_patient IS '患者与联系人关系';</v>
      </c>
      <c r="AD146" s="6"/>
    </row>
    <row r="147" spans="1:31">
      <c r="A147" s="3">
        <v>122</v>
      </c>
      <c r="B147" s="7" t="s">
        <v>257</v>
      </c>
      <c r="C147" s="6"/>
      <c r="D147" s="7" t="s">
        <v>314</v>
      </c>
      <c r="E147" s="7" t="s">
        <v>347</v>
      </c>
      <c r="F147" s="7"/>
      <c r="G147" s="7" t="s">
        <v>348</v>
      </c>
      <c r="H147" s="7" t="s">
        <v>47</v>
      </c>
      <c r="I147" s="7" t="s">
        <v>48</v>
      </c>
      <c r="J147" s="7">
        <v>10</v>
      </c>
      <c r="K147" s="7">
        <v>30</v>
      </c>
      <c r="L147" s="7"/>
      <c r="M147" s="7"/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 s="6"/>
      <c r="AB147" s="6" t="str">
        <f t="shared" si="5"/>
        <v xml:space="preserve">nationality VARCHAR2(30)  , </v>
      </c>
      <c r="AC147" s="6" t="str">
        <f t="shared" si="9"/>
        <v>COMMENT ON COLUMN patient.nationality IS '国籍';</v>
      </c>
      <c r="AD147" s="6"/>
    </row>
    <row r="148" spans="1:31">
      <c r="A148" s="3">
        <v>123</v>
      </c>
      <c r="B148" s="7" t="s">
        <v>257</v>
      </c>
      <c r="C148" s="6"/>
      <c r="D148" s="7" t="s">
        <v>314</v>
      </c>
      <c r="E148" s="7" t="s">
        <v>349</v>
      </c>
      <c r="F148" s="7"/>
      <c r="G148" s="7" t="s">
        <v>350</v>
      </c>
      <c r="H148" s="7" t="s">
        <v>36</v>
      </c>
      <c r="I148" s="15" t="s">
        <v>128</v>
      </c>
      <c r="J148" s="15">
        <v>20</v>
      </c>
      <c r="K148" s="15">
        <v>20</v>
      </c>
      <c r="L148" s="7"/>
      <c r="M148" s="7"/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 s="6"/>
      <c r="AB148" s="6" t="str">
        <f t="shared" si="5"/>
        <v xml:space="preserve">register_place NUMBER(20)  , </v>
      </c>
      <c r="AC148" s="6" t="str">
        <f t="shared" si="9"/>
        <v>COMMENT ON COLUMN patient.register_place IS '户籍地类别';</v>
      </c>
      <c r="AD148" s="6"/>
    </row>
    <row r="149" spans="1:31">
      <c r="A149" s="3">
        <v>124</v>
      </c>
      <c r="B149" s="7" t="s">
        <v>257</v>
      </c>
      <c r="C149" s="6"/>
      <c r="D149" s="7" t="s">
        <v>314</v>
      </c>
      <c r="E149" s="7" t="s">
        <v>351</v>
      </c>
      <c r="F149" s="7"/>
      <c r="G149" s="7" t="s">
        <v>352</v>
      </c>
      <c r="H149" s="7" t="s">
        <v>47</v>
      </c>
      <c r="I149" s="7" t="s">
        <v>48</v>
      </c>
      <c r="J149" s="7">
        <v>20</v>
      </c>
      <c r="K149" s="7">
        <v>60</v>
      </c>
      <c r="L149" s="7"/>
      <c r="M149" s="7"/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 s="6"/>
      <c r="AB149" s="6" t="str">
        <f t="shared" si="5"/>
        <v xml:space="preserve">birth_place VARCHAR2(60)  , </v>
      </c>
      <c r="AC149" s="6" t="str">
        <f t="shared" si="9"/>
        <v>COMMENT ON COLUMN patient.birth_place IS '籍贯';</v>
      </c>
      <c r="AD149" s="6"/>
    </row>
    <row r="150" spans="1:31">
      <c r="A150" s="3">
        <v>125</v>
      </c>
      <c r="B150" s="7" t="s">
        <v>257</v>
      </c>
      <c r="C150" s="6"/>
      <c r="D150" s="7" t="s">
        <v>314</v>
      </c>
      <c r="E150" s="7" t="s">
        <v>353</v>
      </c>
      <c r="F150" s="7"/>
      <c r="G150" s="7" t="s">
        <v>354</v>
      </c>
      <c r="H150" s="7" t="s">
        <v>47</v>
      </c>
      <c r="I150" s="7" t="s">
        <v>48</v>
      </c>
      <c r="J150" s="7">
        <v>10</v>
      </c>
      <c r="K150" s="7">
        <v>30</v>
      </c>
      <c r="L150" s="7"/>
      <c r="M150" s="7"/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 s="6"/>
      <c r="AB150" s="6" t="str">
        <f t="shared" si="5"/>
        <v xml:space="preserve">ethnic_group VARCHAR2(30)  , </v>
      </c>
      <c r="AC150" s="6" t="str">
        <f t="shared" si="9"/>
        <v>COMMENT ON COLUMN patient.ethnic_group IS '民族';</v>
      </c>
      <c r="AD150" s="6"/>
    </row>
    <row r="151" spans="1:31">
      <c r="A151" s="3">
        <v>126</v>
      </c>
      <c r="B151" s="7" t="s">
        <v>257</v>
      </c>
      <c r="C151" s="6"/>
      <c r="D151" s="7" t="s">
        <v>314</v>
      </c>
      <c r="E151" s="7" t="s">
        <v>355</v>
      </c>
      <c r="F151" s="7"/>
      <c r="G151" s="7" t="s">
        <v>356</v>
      </c>
      <c r="H151" s="7" t="s">
        <v>47</v>
      </c>
      <c r="I151" s="7" t="s">
        <v>48</v>
      </c>
      <c r="J151" s="7">
        <v>100</v>
      </c>
      <c r="K151" s="7">
        <v>300</v>
      </c>
      <c r="L151" s="7"/>
      <c r="M151" s="7"/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 s="6"/>
      <c r="AB151" s="6" t="str">
        <f t="shared" si="5"/>
        <v xml:space="preserve">residence_addr VARCHAR2(300)  , </v>
      </c>
      <c r="AC151" s="6" t="str">
        <f t="shared" si="9"/>
        <v>COMMENT ON COLUMN patient.residence_addr IS '现住址';</v>
      </c>
      <c r="AD151" s="6"/>
    </row>
    <row r="152" spans="1:31">
      <c r="A152" s="3">
        <v>127</v>
      </c>
      <c r="B152" s="7" t="s">
        <v>257</v>
      </c>
      <c r="C152" s="6"/>
      <c r="D152" s="7" t="s">
        <v>314</v>
      </c>
      <c r="E152" s="7" t="s">
        <v>357</v>
      </c>
      <c r="F152" s="7"/>
      <c r="G152" s="7" t="s">
        <v>358</v>
      </c>
      <c r="H152" s="7" t="s">
        <v>262</v>
      </c>
      <c r="I152" s="7" t="s">
        <v>128</v>
      </c>
      <c r="J152" s="7">
        <v>1</v>
      </c>
      <c r="K152" s="7">
        <v>1</v>
      </c>
      <c r="L152" s="7"/>
      <c r="M152" s="7"/>
      <c r="N152" s="7"/>
      <c r="O152" s="7"/>
      <c r="P152" s="7" t="s">
        <v>38</v>
      </c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 s="6"/>
      <c r="AB152" s="6" t="str">
        <f t="shared" si="5"/>
        <v xml:space="preserve">marital_status NUMBER(1)  NOT NULL , </v>
      </c>
      <c r="AC152" s="6" t="str">
        <f t="shared" si="9"/>
        <v>COMMENT ON COLUMN patient.marital_status IS '婚姻状况';</v>
      </c>
      <c r="AD152" s="6"/>
    </row>
    <row r="153" spans="1:31">
      <c r="A153" s="3">
        <v>128</v>
      </c>
      <c r="B153" s="7" t="s">
        <v>257</v>
      </c>
      <c r="C153" s="6"/>
      <c r="D153" s="7" t="s">
        <v>314</v>
      </c>
      <c r="E153" s="7" t="s">
        <v>359</v>
      </c>
      <c r="F153" s="7"/>
      <c r="G153" s="7" t="s">
        <v>360</v>
      </c>
      <c r="H153" s="7" t="s">
        <v>47</v>
      </c>
      <c r="I153" s="7" t="s">
        <v>48</v>
      </c>
      <c r="J153" s="7">
        <v>6</v>
      </c>
      <c r="K153" s="7">
        <v>6</v>
      </c>
      <c r="L153" s="7"/>
      <c r="M153" s="7"/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 s="6"/>
      <c r="AB153" s="6" t="str">
        <f t="shared" si="5"/>
        <v xml:space="preserve">postcode VARCHAR2(6)  , </v>
      </c>
      <c r="AC153" s="6" t="str">
        <f t="shared" si="9"/>
        <v>COMMENT ON COLUMN patient.postcode IS '邮编';</v>
      </c>
      <c r="AD153" s="6"/>
    </row>
    <row r="154" spans="1:31">
      <c r="A154" s="3">
        <v>129</v>
      </c>
      <c r="B154" s="7" t="s">
        <v>257</v>
      </c>
      <c r="C154" s="6"/>
      <c r="D154" s="7" t="s">
        <v>314</v>
      </c>
      <c r="E154" s="7" t="s">
        <v>361</v>
      </c>
      <c r="F154" s="7"/>
      <c r="G154" s="7" t="s">
        <v>362</v>
      </c>
      <c r="H154" s="7" t="s">
        <v>47</v>
      </c>
      <c r="I154" s="7" t="s">
        <v>48</v>
      </c>
      <c r="J154" s="7">
        <v>20</v>
      </c>
      <c r="K154" s="7">
        <v>20</v>
      </c>
      <c r="L154" s="7"/>
      <c r="M154" s="7"/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 s="6"/>
      <c r="AB154" s="6" t="str">
        <f t="shared" si="5"/>
        <v xml:space="preserve">job_type VARCHAR2(20)  , </v>
      </c>
      <c r="AC154" s="6" t="str">
        <f t="shared" si="9"/>
        <v>COMMENT ON COLUMN patient.job_type IS '职业类别';</v>
      </c>
      <c r="AD154" s="6"/>
    </row>
    <row r="155" spans="1:31">
      <c r="A155" s="3">
        <v>130</v>
      </c>
      <c r="B155" s="7" t="s">
        <v>257</v>
      </c>
      <c r="C155" s="6"/>
      <c r="D155" s="7" t="s">
        <v>314</v>
      </c>
      <c r="E155" s="7" t="s">
        <v>363</v>
      </c>
      <c r="F155" s="7"/>
      <c r="G155" s="7" t="s">
        <v>364</v>
      </c>
      <c r="H155" s="7" t="s">
        <v>47</v>
      </c>
      <c r="I155" s="7" t="s">
        <v>48</v>
      </c>
      <c r="J155" s="7">
        <v>10</v>
      </c>
      <c r="K155" s="7">
        <v>10</v>
      </c>
      <c r="L155" s="7"/>
      <c r="M155" s="7"/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 s="6"/>
      <c r="AB155" s="6" t="str">
        <f t="shared" ref="AB155:AB221" si="10">IF(D154=D155,"","CREATE TABLE "&amp;D155&amp;" (")&amp;E155&amp;" "&amp;H155&amp;IF(K155&lt;&gt;"","("&amp;K155&amp;") ","")&amp;IF(P155="Y"," NOT NULL","")&amp;IF(N155="Y"," PRIMARY KEY","")&amp;IF(D155=D156,"",")")&amp;IF(D155=D156," , ",";")</f>
        <v xml:space="preserve">abo_blood_type VARCHAR2(10)  , </v>
      </c>
      <c r="AC155" s="6" t="str">
        <f t="shared" si="9"/>
        <v>COMMENT ON COLUMN patient.abo_blood_type IS 'ABO血型';</v>
      </c>
      <c r="AD155" s="6"/>
    </row>
    <row r="156" spans="1:31">
      <c r="A156" s="3">
        <v>131</v>
      </c>
      <c r="B156" s="7" t="s">
        <v>257</v>
      </c>
      <c r="C156" s="6"/>
      <c r="D156" s="7" t="s">
        <v>314</v>
      </c>
      <c r="E156" s="7" t="s">
        <v>365</v>
      </c>
      <c r="F156" s="7"/>
      <c r="G156" s="7" t="s">
        <v>366</v>
      </c>
      <c r="H156" s="7" t="s">
        <v>47</v>
      </c>
      <c r="I156" s="7" t="s">
        <v>48</v>
      </c>
      <c r="J156" s="7">
        <v>10</v>
      </c>
      <c r="K156" s="7">
        <v>10</v>
      </c>
      <c r="L156" s="7"/>
      <c r="M156" s="7"/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 s="6"/>
      <c r="AB156" s="6" t="str">
        <f t="shared" si="10"/>
        <v xml:space="preserve">rh_blood_type VARCHAR2(10)  , </v>
      </c>
      <c r="AC156" s="6" t="str">
        <f t="shared" si="9"/>
        <v>COMMENT ON COLUMN patient.rh_blood_type IS 'RH血型';</v>
      </c>
      <c r="AD156" s="6"/>
    </row>
    <row r="157" spans="1:31">
      <c r="A157" s="3">
        <v>132</v>
      </c>
      <c r="B157" s="7" t="s">
        <v>257</v>
      </c>
      <c r="C157" s="6"/>
      <c r="D157" s="7" t="s">
        <v>314</v>
      </c>
      <c r="E157" s="7" t="s">
        <v>367</v>
      </c>
      <c r="F157" s="7"/>
      <c r="G157" s="7" t="s">
        <v>368</v>
      </c>
      <c r="H157" s="7" t="s">
        <v>262</v>
      </c>
      <c r="I157" s="7" t="s">
        <v>177</v>
      </c>
      <c r="J157" s="7">
        <v>11</v>
      </c>
      <c r="K157" s="7">
        <v>11</v>
      </c>
      <c r="L157" s="7"/>
      <c r="M157" s="7"/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 s="6"/>
      <c r="AB157" s="6" t="str">
        <f t="shared" si="10"/>
        <v xml:space="preserve">updater NUMBER(11)  , </v>
      </c>
      <c r="AC157" s="6" t="str">
        <f t="shared" si="9"/>
        <v>COMMENT ON COLUMN patient.updater IS '更新者标识';</v>
      </c>
      <c r="AD157" s="6"/>
    </row>
    <row r="158" spans="1:31">
      <c r="A158" s="3">
        <v>133</v>
      </c>
      <c r="B158" s="7" t="s">
        <v>257</v>
      </c>
      <c r="C158" s="6"/>
      <c r="D158" s="7" t="s">
        <v>314</v>
      </c>
      <c r="E158" s="7" t="s">
        <v>369</v>
      </c>
      <c r="F158" s="7"/>
      <c r="G158" s="7" t="s">
        <v>370</v>
      </c>
      <c r="H158" s="7" t="s">
        <v>186</v>
      </c>
      <c r="I158" s="7" t="s">
        <v>187</v>
      </c>
      <c r="J158" s="7"/>
      <c r="K158" s="7"/>
      <c r="L158" s="7"/>
      <c r="M158" s="7"/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 s="6"/>
      <c r="AB158" s="6" t="str">
        <f t="shared" si="10"/>
        <v>update_time DATE);</v>
      </c>
      <c r="AC158" s="6" t="str">
        <f t="shared" si="9"/>
        <v>COMMENT ON COLUMN patient.update_time IS '更新时间';</v>
      </c>
      <c r="AD158" s="6"/>
    </row>
    <row r="159" spans="1:31">
      <c r="A159" s="3">
        <v>134</v>
      </c>
      <c r="B159" s="3" t="s">
        <v>257</v>
      </c>
      <c r="C159" s="16" t="s">
        <v>371</v>
      </c>
      <c r="D159" s="17" t="s">
        <v>372</v>
      </c>
      <c r="E159" s="18" t="s">
        <v>373</v>
      </c>
      <c r="F159" s="18"/>
      <c r="G159" s="19" t="s">
        <v>374</v>
      </c>
      <c r="H159" s="3" t="s">
        <v>36</v>
      </c>
      <c r="I159" s="3" t="s">
        <v>65</v>
      </c>
      <c r="J159" s="3">
        <v>11</v>
      </c>
      <c r="K159" s="3">
        <v>11</v>
      </c>
      <c r="L159" s="4"/>
      <c r="M159" s="4"/>
      <c r="N159" s="3" t="s">
        <v>38</v>
      </c>
      <c r="O159" s="3" t="s">
        <v>375</v>
      </c>
      <c r="P159" s="3" t="s">
        <v>38</v>
      </c>
      <c r="Q159" s="4"/>
      <c r="R159" s="12"/>
      <c r="S159" s="4"/>
      <c r="T159" s="4"/>
      <c r="U159" s="4"/>
      <c r="V159" s="4"/>
      <c r="W159" s="4"/>
      <c r="X159" s="4"/>
      <c r="Y159" s="4"/>
      <c r="Z159" s="4"/>
      <c r="AA159" s="4"/>
      <c r="AB159" s="4" t="str">
        <f t="shared" si="10"/>
        <v xml:space="preserve">CREATE TABLE consultation (consultation_id NUMBER(11)  NOT NULL PRIMARY KEY , </v>
      </c>
      <c r="AC159" s="4" t="str">
        <f t="shared" si="9"/>
        <v>COMMENT ON COLUMN consultation.consultation_id IS '会诊单标识';</v>
      </c>
      <c r="AD159" s="4" t="str">
        <f>"CREATE SEQUENCE seq_"&amp;D159&amp;" MINVALUE 1 MAXVALUE 9999999999999999999 INCREMENT BY 1 START WITH 1 CACHE 20 NOORDER NOCYCLE ;"</f>
        <v>CREATE SEQUENCE seq_consultation MINVALUE 1 MAXVALUE 9999999999999999999 INCREMENT BY 1 START WITH 1 CACHE 20 NOORDER NOCYCLE ;</v>
      </c>
      <c r="AE159" s="5"/>
    </row>
    <row r="160" spans="1:31">
      <c r="A160" s="3">
        <v>135</v>
      </c>
      <c r="B160" s="7" t="s">
        <v>257</v>
      </c>
      <c r="C160" s="20"/>
      <c r="D160" s="21" t="s">
        <v>372</v>
      </c>
      <c r="E160" s="13" t="s">
        <v>376</v>
      </c>
      <c r="F160" s="10"/>
      <c r="G160" s="13" t="s">
        <v>377</v>
      </c>
      <c r="H160" s="13" t="s">
        <v>47</v>
      </c>
      <c r="I160" s="7" t="s">
        <v>48</v>
      </c>
      <c r="J160" s="22">
        <v>20</v>
      </c>
      <c r="K160" s="22">
        <v>20</v>
      </c>
      <c r="L160" s="6"/>
      <c r="M160" s="6"/>
      <c r="N160" s="7"/>
      <c r="O160" s="7"/>
      <c r="P160" s="7" t="s">
        <v>378</v>
      </c>
      <c r="Q160" s="6"/>
      <c r="R160" s="11"/>
      <c r="S160" s="6"/>
      <c r="T160" s="6"/>
      <c r="U160" s="6"/>
      <c r="V160" s="6"/>
      <c r="W160" s="6"/>
      <c r="X160" s="6"/>
      <c r="Y160" s="6"/>
      <c r="Z160" s="6"/>
      <c r="AA160" s="6"/>
      <c r="AB160" s="6" t="str">
        <f t="shared" si="10"/>
        <v xml:space="preserve">consultation_code VARCHAR2(20)  NOT NULL , </v>
      </c>
      <c r="AC160" s="6" t="str">
        <f t="shared" si="9"/>
        <v>COMMENT ON COLUMN consultation.consultation_code IS '会诊单编码';</v>
      </c>
      <c r="AD160" s="6"/>
    </row>
    <row r="161" spans="1:30">
      <c r="A161" s="3">
        <v>136</v>
      </c>
      <c r="B161" s="7" t="s">
        <v>257</v>
      </c>
      <c r="C161" s="20"/>
      <c r="D161" s="21" t="s">
        <v>372</v>
      </c>
      <c r="E161" s="13" t="s">
        <v>379</v>
      </c>
      <c r="F161" s="23"/>
      <c r="G161" s="10" t="s">
        <v>380</v>
      </c>
      <c r="H161" s="7" t="s">
        <v>36</v>
      </c>
      <c r="I161" s="7" t="s">
        <v>128</v>
      </c>
      <c r="J161" s="7">
        <v>8</v>
      </c>
      <c r="K161" s="7">
        <v>8</v>
      </c>
      <c r="L161" s="6"/>
      <c r="M161" s="6"/>
      <c r="N161" s="6"/>
      <c r="O161" s="6"/>
      <c r="P161" s="6" t="s">
        <v>38</v>
      </c>
      <c r="Q161" s="6"/>
      <c r="R161" s="11"/>
      <c r="S161" s="6"/>
      <c r="T161" s="6"/>
      <c r="U161" s="6"/>
      <c r="V161" s="6"/>
      <c r="W161" s="6"/>
      <c r="X161" s="6"/>
      <c r="Y161" s="6"/>
      <c r="Z161" s="6"/>
      <c r="AA161" s="6"/>
      <c r="AB161" s="6" t="str">
        <f t="shared" si="10"/>
        <v xml:space="preserve">process_type_Id NUMBER(8)  NOT NULL , </v>
      </c>
      <c r="AC161" s="6" t="str">
        <f t="shared" si="9"/>
        <v>COMMENT ON COLUMN consultation.process_type_Id IS '会诊申请类型';</v>
      </c>
      <c r="AD161" s="6"/>
    </row>
    <row r="162" spans="1:30">
      <c r="A162" s="3">
        <v>137</v>
      </c>
      <c r="B162" s="7" t="s">
        <v>257</v>
      </c>
      <c r="C162" s="20"/>
      <c r="D162" s="21" t="s">
        <v>372</v>
      </c>
      <c r="E162" s="10" t="s">
        <v>381</v>
      </c>
      <c r="F162" s="10"/>
      <c r="G162" s="10" t="s">
        <v>382</v>
      </c>
      <c r="H162" s="7" t="s">
        <v>36</v>
      </c>
      <c r="I162" s="7" t="s">
        <v>128</v>
      </c>
      <c r="J162" s="9">
        <v>1</v>
      </c>
      <c r="K162" s="9">
        <v>1</v>
      </c>
      <c r="L162" s="6"/>
      <c r="M162" s="6"/>
      <c r="N162" s="6"/>
      <c r="O162" s="6"/>
      <c r="P162" s="7" t="s">
        <v>38</v>
      </c>
      <c r="Q162" s="6"/>
      <c r="R162" s="11"/>
      <c r="S162" s="6"/>
      <c r="T162" s="6"/>
      <c r="U162" s="6"/>
      <c r="V162" s="6"/>
      <c r="W162" s="6"/>
      <c r="X162" s="6"/>
      <c r="Y162" s="6"/>
      <c r="Z162" s="6"/>
      <c r="AA162" s="6"/>
      <c r="AB162" s="6" t="str">
        <f t="shared" si="10"/>
        <v xml:space="preserve">consultation_type NUMBER(1)  NOT NULL , </v>
      </c>
      <c r="AC162" s="6" t="str">
        <f t="shared" si="9"/>
        <v>COMMENT ON COLUMN consultation.consultation_type IS '会诊类型';</v>
      </c>
      <c r="AD162" s="6"/>
    </row>
    <row r="163" spans="1:30">
      <c r="A163" s="3">
        <v>138</v>
      </c>
      <c r="B163" s="7" t="s">
        <v>257</v>
      </c>
      <c r="C163" s="20"/>
      <c r="D163" s="21" t="s">
        <v>372</v>
      </c>
      <c r="E163" s="10" t="s">
        <v>383</v>
      </c>
      <c r="F163" s="10"/>
      <c r="G163" s="10" t="s">
        <v>384</v>
      </c>
      <c r="H163" s="7" t="s">
        <v>36</v>
      </c>
      <c r="I163" s="7" t="s">
        <v>128</v>
      </c>
      <c r="J163" s="9">
        <v>1</v>
      </c>
      <c r="K163" s="9">
        <v>1</v>
      </c>
      <c r="L163" s="6"/>
      <c r="M163" s="6"/>
      <c r="N163" s="6"/>
      <c r="O163" s="6"/>
      <c r="P163" s="7" t="s">
        <v>38</v>
      </c>
      <c r="Q163" s="6"/>
      <c r="R163" s="11"/>
      <c r="S163" s="6"/>
      <c r="T163" s="6"/>
      <c r="U163" s="6"/>
      <c r="V163" s="6"/>
      <c r="W163" s="6"/>
      <c r="X163" s="6"/>
      <c r="Y163" s="6"/>
      <c r="Z163" s="6"/>
      <c r="AA163" s="6"/>
      <c r="AB163" s="6" t="str">
        <f t="shared" si="10"/>
        <v xml:space="preserve">isurgency NUMBER(1)  NOT NULL , </v>
      </c>
      <c r="AC163" s="6" t="str">
        <f t="shared" si="9"/>
        <v>COMMENT ON COLUMN consultation.isurgency IS '紧急标识';</v>
      </c>
      <c r="AD163" s="6"/>
    </row>
    <row r="164" spans="1:30">
      <c r="A164" s="3">
        <v>139</v>
      </c>
      <c r="B164" s="7" t="s">
        <v>257</v>
      </c>
      <c r="C164" s="20"/>
      <c r="D164" s="21" t="s">
        <v>372</v>
      </c>
      <c r="E164" s="10" t="s">
        <v>385</v>
      </c>
      <c r="F164" s="10"/>
      <c r="G164" s="10" t="s">
        <v>386</v>
      </c>
      <c r="H164" s="7" t="s">
        <v>36</v>
      </c>
      <c r="I164" s="7" t="s">
        <v>128</v>
      </c>
      <c r="J164" s="9">
        <v>1</v>
      </c>
      <c r="K164" s="9">
        <v>1</v>
      </c>
      <c r="L164" s="6"/>
      <c r="M164" s="6"/>
      <c r="N164" s="6"/>
      <c r="O164" s="6"/>
      <c r="P164" s="7" t="s">
        <v>38</v>
      </c>
      <c r="Q164" s="6"/>
      <c r="R164" s="11"/>
      <c r="S164" s="6"/>
      <c r="T164" s="6"/>
      <c r="U164" s="6"/>
      <c r="V164" s="6"/>
      <c r="W164" s="6"/>
      <c r="X164" s="6"/>
      <c r="Y164" s="6"/>
      <c r="Z164" s="6"/>
      <c r="AA164" s="6"/>
      <c r="AB164" s="6" t="str">
        <f t="shared" si="10"/>
        <v xml:space="preserve">isafterwards NUMBER(1)  NOT NULL , </v>
      </c>
      <c r="AC164" s="6" t="str">
        <f t="shared" si="9"/>
        <v>COMMENT ON COLUMN consultation.isafterwards IS '是否补录';</v>
      </c>
      <c r="AD164" s="6"/>
    </row>
    <row r="165" spans="1:30">
      <c r="A165" s="3">
        <v>140</v>
      </c>
      <c r="B165" s="7" t="s">
        <v>257</v>
      </c>
      <c r="C165" s="20"/>
      <c r="D165" s="21" t="s">
        <v>372</v>
      </c>
      <c r="E165" s="10" t="s">
        <v>255</v>
      </c>
      <c r="F165" s="10"/>
      <c r="G165" s="10" t="s">
        <v>387</v>
      </c>
      <c r="H165" s="7" t="s">
        <v>36</v>
      </c>
      <c r="I165" s="7" t="s">
        <v>128</v>
      </c>
      <c r="J165" s="9">
        <v>2</v>
      </c>
      <c r="K165" s="9">
        <v>2</v>
      </c>
      <c r="L165" s="6"/>
      <c r="M165" s="6"/>
      <c r="N165" s="6"/>
      <c r="O165" s="6"/>
      <c r="P165" s="7" t="s">
        <v>38</v>
      </c>
      <c r="Q165" s="6"/>
      <c r="R165" s="11"/>
      <c r="S165" s="6"/>
      <c r="T165" s="6"/>
      <c r="U165" s="6"/>
      <c r="V165" s="6"/>
      <c r="W165" s="6"/>
      <c r="X165" s="6"/>
      <c r="Y165" s="6"/>
      <c r="Z165" s="6"/>
      <c r="AA165" s="6"/>
      <c r="AB165" s="6" t="str">
        <f t="shared" si="10"/>
        <v xml:space="preserve">status NUMBER(2)  NOT NULL , </v>
      </c>
      <c r="AC165" s="6" t="str">
        <f t="shared" si="9"/>
        <v>COMMENT ON COLUMN consultation.status IS '会诊状态';</v>
      </c>
      <c r="AD165" s="6"/>
    </row>
    <row r="166" spans="1:30">
      <c r="A166" s="3">
        <v>141</v>
      </c>
      <c r="B166" s="7" t="s">
        <v>257</v>
      </c>
      <c r="C166" s="20"/>
      <c r="D166" s="21" t="s">
        <v>372</v>
      </c>
      <c r="E166" s="10" t="s">
        <v>388</v>
      </c>
      <c r="F166" s="10"/>
      <c r="G166" s="10" t="s">
        <v>389</v>
      </c>
      <c r="H166" s="7" t="s">
        <v>36</v>
      </c>
      <c r="I166" s="7" t="s">
        <v>128</v>
      </c>
      <c r="J166" s="7">
        <v>8</v>
      </c>
      <c r="K166" s="7">
        <v>8</v>
      </c>
      <c r="L166" s="6"/>
      <c r="M166" s="6"/>
      <c r="N166" s="6"/>
      <c r="O166" s="6"/>
      <c r="P166" s="6" t="s">
        <v>38</v>
      </c>
      <c r="Q166" s="6"/>
      <c r="R166" s="11"/>
      <c r="S166" s="6"/>
      <c r="T166" s="6"/>
      <c r="U166" s="6"/>
      <c r="V166" s="6"/>
      <c r="W166" s="6"/>
      <c r="X166" s="6"/>
      <c r="Y166" s="6"/>
      <c r="Z166" s="6"/>
      <c r="AA166" s="6"/>
      <c r="AB166" s="6" t="str">
        <f t="shared" si="10"/>
        <v xml:space="preserve">apply_clinic_id NUMBER(8)  NOT NULL , </v>
      </c>
      <c r="AC166" s="6" t="str">
        <f t="shared" si="9"/>
        <v>COMMENT ON COLUMN consultation.apply_clinic_id IS '申请科室';</v>
      </c>
      <c r="AD166" s="6"/>
    </row>
    <row r="167" spans="1:30">
      <c r="A167" s="3">
        <v>142</v>
      </c>
      <c r="B167" s="7" t="s">
        <v>257</v>
      </c>
      <c r="C167" s="20"/>
      <c r="D167" s="21" t="s">
        <v>372</v>
      </c>
      <c r="E167" s="10" t="s">
        <v>390</v>
      </c>
      <c r="F167" s="10"/>
      <c r="G167" s="10" t="s">
        <v>391</v>
      </c>
      <c r="H167" s="7" t="s">
        <v>36</v>
      </c>
      <c r="I167" s="7" t="s">
        <v>177</v>
      </c>
      <c r="J167" s="7">
        <v>11</v>
      </c>
      <c r="K167" s="7">
        <v>11</v>
      </c>
      <c r="L167" s="6"/>
      <c r="M167" s="6"/>
      <c r="N167" s="6"/>
      <c r="O167" s="6"/>
      <c r="P167" s="6" t="s">
        <v>38</v>
      </c>
      <c r="Q167" s="6"/>
      <c r="R167" s="11"/>
      <c r="S167" s="6"/>
      <c r="T167" s="6"/>
      <c r="U167" s="6"/>
      <c r="V167" s="6"/>
      <c r="W167" s="6"/>
      <c r="X167" s="6"/>
      <c r="Y167" s="6"/>
      <c r="Z167" s="6"/>
      <c r="AA167" s="6"/>
      <c r="AB167" s="6" t="str">
        <f t="shared" si="10"/>
        <v xml:space="preserve">apply_doctor_id NUMBER(11)  NOT NULL , </v>
      </c>
      <c r="AC167" s="6" t="str">
        <f t="shared" si="9"/>
        <v>COMMENT ON COLUMN consultation.apply_doctor_id IS '申请医生';</v>
      </c>
      <c r="AD167" s="6"/>
    </row>
    <row r="168" spans="1:30">
      <c r="A168" s="3">
        <v>143</v>
      </c>
      <c r="B168" s="7" t="s">
        <v>257</v>
      </c>
      <c r="C168" s="6"/>
      <c r="D168" s="21" t="s">
        <v>372</v>
      </c>
      <c r="E168" s="10" t="s">
        <v>392</v>
      </c>
      <c r="F168" s="10"/>
      <c r="G168" s="10" t="s">
        <v>393</v>
      </c>
      <c r="H168" s="10" t="s">
        <v>108</v>
      </c>
      <c r="I168" s="7" t="s">
        <v>48</v>
      </c>
      <c r="J168" s="9">
        <v>100</v>
      </c>
      <c r="K168" s="9">
        <v>300</v>
      </c>
      <c r="L168" s="6"/>
      <c r="M168" s="6"/>
      <c r="N168" s="6"/>
      <c r="O168" s="6"/>
      <c r="P168" s="6"/>
      <c r="Q168" s="6"/>
      <c r="R168" s="11"/>
      <c r="S168" s="6"/>
      <c r="T168" s="6"/>
      <c r="U168" s="6"/>
      <c r="V168" s="6"/>
      <c r="W168" s="6"/>
      <c r="X168" s="6"/>
      <c r="Y168" s="6"/>
      <c r="Z168" s="6"/>
      <c r="AA168" s="6"/>
      <c r="AB168" s="6" t="str">
        <f t="shared" si="10"/>
        <v xml:space="preserve">apply_reason VARCHAR2(300)  , </v>
      </c>
      <c r="AC168" s="6" t="str">
        <f t="shared" si="9"/>
        <v>COMMENT ON COLUMN consultation.apply_reason IS '会诊申请理由';</v>
      </c>
      <c r="AD168" s="6"/>
    </row>
    <row r="169" spans="1:30">
      <c r="A169" s="3">
        <v>144</v>
      </c>
      <c r="B169" s="7" t="s">
        <v>257</v>
      </c>
      <c r="C169" s="6"/>
      <c r="D169" s="21" t="s">
        <v>372</v>
      </c>
      <c r="E169" s="10" t="s">
        <v>394</v>
      </c>
      <c r="F169" s="10"/>
      <c r="G169" s="10" t="s">
        <v>395</v>
      </c>
      <c r="H169" s="10" t="s">
        <v>108</v>
      </c>
      <c r="I169" s="10" t="s">
        <v>48</v>
      </c>
      <c r="J169" s="9">
        <v>100</v>
      </c>
      <c r="K169" s="9">
        <v>300</v>
      </c>
      <c r="L169" s="6"/>
      <c r="M169" s="6"/>
      <c r="N169" s="6"/>
      <c r="O169" s="6"/>
      <c r="P169" s="6"/>
      <c r="Q169" s="6"/>
      <c r="R169" s="11"/>
      <c r="S169" s="6"/>
      <c r="T169" s="6"/>
      <c r="U169" s="6"/>
      <c r="V169" s="6"/>
      <c r="W169" s="6"/>
      <c r="X169" s="6"/>
      <c r="Y169" s="6"/>
      <c r="Z169" s="6"/>
      <c r="AA169" s="6"/>
      <c r="AB169" s="6" t="str">
        <f t="shared" si="10"/>
        <v xml:space="preserve">apply_purpose VARCHAR2(300)  , </v>
      </c>
      <c r="AC169" s="6" t="str">
        <f t="shared" si="9"/>
        <v>COMMENT ON COLUMN consultation.apply_purpose IS '会诊申请目的';</v>
      </c>
      <c r="AD169" s="6"/>
    </row>
    <row r="170" spans="1:30">
      <c r="A170" s="3">
        <v>145</v>
      </c>
      <c r="B170" s="7" t="s">
        <v>257</v>
      </c>
      <c r="C170" s="6"/>
      <c r="D170" s="21" t="s">
        <v>372</v>
      </c>
      <c r="E170" s="10" t="s">
        <v>396</v>
      </c>
      <c r="F170" s="10"/>
      <c r="G170" s="10" t="s">
        <v>397</v>
      </c>
      <c r="H170" s="10" t="s">
        <v>108</v>
      </c>
      <c r="I170" s="7" t="s">
        <v>48</v>
      </c>
      <c r="J170" s="9">
        <v>100</v>
      </c>
      <c r="K170" s="9">
        <v>300</v>
      </c>
      <c r="L170" s="6"/>
      <c r="M170" s="6"/>
      <c r="N170" s="6"/>
      <c r="O170" s="6"/>
      <c r="P170" s="6"/>
      <c r="Q170" s="6"/>
      <c r="R170" s="11"/>
      <c r="S170" s="6"/>
      <c r="T170" s="6"/>
      <c r="U170" s="6"/>
      <c r="V170" s="6"/>
      <c r="W170" s="6"/>
      <c r="X170" s="6"/>
      <c r="Y170" s="6"/>
      <c r="Z170" s="6"/>
      <c r="AA170" s="6"/>
      <c r="AB170" s="6" t="str">
        <f t="shared" si="10"/>
        <v xml:space="preserve">consultation_place VARCHAR2(300)  , </v>
      </c>
      <c r="AC170" s="6" t="str">
        <f t="shared" si="9"/>
        <v>COMMENT ON COLUMN consultation.consultation_place IS '会诊地点';</v>
      </c>
      <c r="AD170" s="6"/>
    </row>
    <row r="171" spans="1:30">
      <c r="A171" s="3">
        <v>146</v>
      </c>
      <c r="B171" s="7" t="s">
        <v>257</v>
      </c>
      <c r="C171" s="6"/>
      <c r="D171" s="21" t="s">
        <v>372</v>
      </c>
      <c r="E171" s="10" t="s">
        <v>398</v>
      </c>
      <c r="F171" s="10"/>
      <c r="G171" s="10" t="s">
        <v>399</v>
      </c>
      <c r="H171" s="10" t="s">
        <v>186</v>
      </c>
      <c r="I171" s="7" t="s">
        <v>187</v>
      </c>
      <c r="J171" s="14"/>
      <c r="K171" s="14"/>
      <c r="L171" s="6"/>
      <c r="M171" s="6"/>
      <c r="N171" s="6"/>
      <c r="O171" s="6"/>
      <c r="P171" s="6"/>
      <c r="Q171" s="6"/>
      <c r="R171" s="11"/>
      <c r="S171" s="6"/>
      <c r="T171" s="6"/>
      <c r="U171" s="6"/>
      <c r="V171" s="6"/>
      <c r="W171" s="6"/>
      <c r="X171" s="6"/>
      <c r="Y171" s="6"/>
      <c r="Z171" s="6"/>
      <c r="AA171" s="6"/>
      <c r="AB171" s="6" t="str">
        <f t="shared" si="10"/>
        <v xml:space="preserve">book_start_datetime DATE , </v>
      </c>
      <c r="AC171" s="6" t="str">
        <f t="shared" si="9"/>
        <v>COMMENT ON COLUMN consultation.book_start_datetime IS '会诊预订开始时间';</v>
      </c>
      <c r="AD171" s="6"/>
    </row>
    <row r="172" spans="1:30">
      <c r="A172" s="3">
        <v>147</v>
      </c>
      <c r="B172" s="7" t="s">
        <v>257</v>
      </c>
      <c r="C172" s="6"/>
      <c r="D172" s="21" t="s">
        <v>372</v>
      </c>
      <c r="E172" s="10" t="s">
        <v>400</v>
      </c>
      <c r="F172" s="10"/>
      <c r="G172" s="10" t="s">
        <v>401</v>
      </c>
      <c r="H172" s="10" t="s">
        <v>186</v>
      </c>
      <c r="I172" s="7" t="s">
        <v>187</v>
      </c>
      <c r="J172" s="14"/>
      <c r="K172" s="14"/>
      <c r="L172" s="6"/>
      <c r="M172" s="6"/>
      <c r="N172" s="6"/>
      <c r="O172" s="6"/>
      <c r="P172" s="6"/>
      <c r="Q172" s="6"/>
      <c r="R172" s="11"/>
      <c r="S172" s="6"/>
      <c r="T172" s="6"/>
      <c r="U172" s="6"/>
      <c r="V172" s="6"/>
      <c r="W172" s="6"/>
      <c r="X172" s="6"/>
      <c r="Y172" s="6"/>
      <c r="Z172" s="6"/>
      <c r="AA172" s="6"/>
      <c r="AB172" s="6" t="str">
        <f t="shared" si="10"/>
        <v xml:space="preserve">book_end_datetime DATE , </v>
      </c>
      <c r="AC172" s="6" t="str">
        <f t="shared" si="9"/>
        <v>COMMENT ON COLUMN consultation.book_end_datetime IS '会诊预订结束时间';</v>
      </c>
      <c r="AD172" s="6"/>
    </row>
    <row r="173" spans="1:30">
      <c r="A173" s="3">
        <v>148</v>
      </c>
      <c r="B173" s="7" t="s">
        <v>257</v>
      </c>
      <c r="C173" s="6"/>
      <c r="D173" s="21" t="s">
        <v>372</v>
      </c>
      <c r="E173" s="10" t="s">
        <v>402</v>
      </c>
      <c r="F173" s="10"/>
      <c r="G173" s="10" t="s">
        <v>403</v>
      </c>
      <c r="H173" s="10" t="s">
        <v>186</v>
      </c>
      <c r="I173" s="7" t="s">
        <v>187</v>
      </c>
      <c r="J173" s="14"/>
      <c r="K173" s="14"/>
      <c r="L173" s="6"/>
      <c r="M173" s="6"/>
      <c r="N173" s="6"/>
      <c r="O173" s="6"/>
      <c r="P173" s="6"/>
      <c r="Q173" s="6"/>
      <c r="R173" s="11"/>
      <c r="S173" s="6"/>
      <c r="T173" s="6"/>
      <c r="U173" s="6"/>
      <c r="V173" s="6"/>
      <c r="W173" s="6"/>
      <c r="X173" s="6"/>
      <c r="Y173" s="6"/>
      <c r="Z173" s="6"/>
      <c r="AA173" s="6"/>
      <c r="AB173" s="6" t="str">
        <f t="shared" si="10"/>
        <v xml:space="preserve">start_datetime DATE , </v>
      </c>
      <c r="AC173" s="6" t="str">
        <f t="shared" si="9"/>
        <v>COMMENT ON COLUMN consultation.start_datetime IS '会诊实际开始时间';</v>
      </c>
      <c r="AD173" s="6"/>
    </row>
    <row r="174" spans="1:30">
      <c r="A174" s="3">
        <v>149</v>
      </c>
      <c r="B174" s="7" t="s">
        <v>257</v>
      </c>
      <c r="C174" s="6"/>
      <c r="D174" s="21" t="s">
        <v>372</v>
      </c>
      <c r="E174" s="10" t="s">
        <v>404</v>
      </c>
      <c r="F174" s="10"/>
      <c r="G174" s="10" t="s">
        <v>405</v>
      </c>
      <c r="H174" s="10" t="s">
        <v>186</v>
      </c>
      <c r="I174" s="7" t="s">
        <v>187</v>
      </c>
      <c r="J174" s="14"/>
      <c r="K174" s="14"/>
      <c r="L174" s="6"/>
      <c r="M174" s="6"/>
      <c r="N174" s="6"/>
      <c r="O174" s="6"/>
      <c r="P174" s="6"/>
      <c r="Q174" s="6"/>
      <c r="R174" s="11"/>
      <c r="S174" s="6"/>
      <c r="T174" s="6"/>
      <c r="U174" s="6"/>
      <c r="V174" s="6"/>
      <c r="W174" s="6"/>
      <c r="X174" s="6"/>
      <c r="Y174" s="6"/>
      <c r="Z174" s="6"/>
      <c r="AA174" s="6"/>
      <c r="AB174" s="6" t="str">
        <f t="shared" si="10"/>
        <v xml:space="preserve">end_datetime DATE , </v>
      </c>
      <c r="AC174" s="6" t="str">
        <f t="shared" si="9"/>
        <v>COMMENT ON COLUMN consultation.end_datetime IS '会诊实际结束时间';</v>
      </c>
      <c r="AD174" s="6"/>
    </row>
    <row r="175" spans="1:30">
      <c r="A175" s="3">
        <v>150</v>
      </c>
      <c r="B175" s="7" t="s">
        <v>257</v>
      </c>
      <c r="C175" s="6"/>
      <c r="D175" s="21" t="s">
        <v>372</v>
      </c>
      <c r="E175" s="10" t="s">
        <v>312</v>
      </c>
      <c r="F175" s="10"/>
      <c r="G175" s="10" t="s">
        <v>406</v>
      </c>
      <c r="H175" s="7" t="s">
        <v>36</v>
      </c>
      <c r="I175" s="7" t="s">
        <v>177</v>
      </c>
      <c r="J175" s="7">
        <v>11</v>
      </c>
      <c r="K175" s="7">
        <v>11</v>
      </c>
      <c r="L175" s="6"/>
      <c r="M175" s="6"/>
      <c r="N175" s="6"/>
      <c r="O175" s="6"/>
      <c r="P175" s="6"/>
      <c r="Q175" s="6"/>
      <c r="R175" s="11"/>
      <c r="S175" s="6"/>
      <c r="T175" s="6"/>
      <c r="U175" s="6"/>
      <c r="V175" s="6"/>
      <c r="W175" s="6"/>
      <c r="X175" s="6"/>
      <c r="Y175" s="6"/>
      <c r="Z175" s="6"/>
      <c r="AA175" s="6"/>
      <c r="AB175" s="6" t="str">
        <f>IF(D174=D175,"","CREATE TABLE "&amp;D175&amp;" (")&amp;E175&amp;" "&amp;H175&amp;IF(K175&lt;&gt;"","("&amp;K175&amp;") ","")&amp;IF(P175="Y"," NOT NULL","")&amp;IF(N175="Y"," PRIMARY KEY","")&amp;IF(D175=D177,"",")")&amp;IF(D175=D177," , ",";")</f>
        <v xml:space="preserve">patient_id NUMBER(11)  , </v>
      </c>
      <c r="AC175" s="6" t="str">
        <f t="shared" si="9"/>
        <v>COMMENT ON COLUMN consultation.patient_id IS '患者标识';</v>
      </c>
      <c r="AD175" s="6"/>
    </row>
    <row r="176" spans="1:30">
      <c r="A176" s="3"/>
      <c r="B176" s="7" t="s">
        <v>257</v>
      </c>
      <c r="C176" s="6"/>
      <c r="D176" s="21" t="s">
        <v>372</v>
      </c>
      <c r="E176" s="10" t="s">
        <v>407</v>
      </c>
      <c r="F176" s="10"/>
      <c r="G176" s="10" t="s">
        <v>408</v>
      </c>
      <c r="H176" s="7" t="s">
        <v>108</v>
      </c>
      <c r="I176" s="10" t="s">
        <v>48</v>
      </c>
      <c r="J176" s="7">
        <v>20</v>
      </c>
      <c r="K176" s="7">
        <v>20</v>
      </c>
      <c r="L176" s="6"/>
      <c r="M176" s="6"/>
      <c r="N176" s="6"/>
      <c r="O176" s="6"/>
      <c r="P176" s="6"/>
      <c r="Q176" s="6"/>
      <c r="R176" s="11"/>
      <c r="S176" s="6"/>
      <c r="T176" s="6"/>
      <c r="U176" s="6"/>
      <c r="V176" s="6"/>
      <c r="W176" s="6"/>
      <c r="X176" s="6"/>
      <c r="Y176" s="6"/>
      <c r="Z176" s="6"/>
      <c r="AA176" s="6"/>
      <c r="AB176" s="6" t="str">
        <f>IF(D175=D176,"","CREATE TABLE "&amp;D176&amp;" (")&amp;E176&amp;" "&amp;H176&amp;IF(K176&lt;&gt;"","("&amp;K176&amp;") ","")&amp;IF(P176="Y"," NOT NULL","")&amp;IF(N176="Y"," PRIMARY KEY","")&amp;IF(D176=D178,"",")")&amp;IF(D176=D178," , ",";")</f>
        <v xml:space="preserve">outpatient_number VARCHAR2(20)  , </v>
      </c>
      <c r="AC176" s="6" t="str">
        <f t="shared" si="9"/>
        <v>COMMENT ON COLUMN consultation.outpatient_number IS '门诊号';</v>
      </c>
      <c r="AD176" s="6"/>
    </row>
    <row r="177" spans="1:30">
      <c r="A177" s="3">
        <v>151</v>
      </c>
      <c r="B177" s="7" t="s">
        <v>257</v>
      </c>
      <c r="C177" s="6"/>
      <c r="D177" s="21" t="s">
        <v>372</v>
      </c>
      <c r="E177" s="10" t="s">
        <v>409</v>
      </c>
      <c r="F177" s="10"/>
      <c r="G177" s="10" t="s">
        <v>410</v>
      </c>
      <c r="H177" s="7" t="s">
        <v>108</v>
      </c>
      <c r="I177" s="10" t="s">
        <v>48</v>
      </c>
      <c r="J177" s="9">
        <v>20</v>
      </c>
      <c r="K177" s="9">
        <v>20</v>
      </c>
      <c r="L177" s="6"/>
      <c r="M177" s="6"/>
      <c r="N177" s="6"/>
      <c r="O177" s="6"/>
      <c r="P177" s="6"/>
      <c r="Q177" s="6"/>
      <c r="R177" s="11"/>
      <c r="S177" s="6"/>
      <c r="T177" s="6"/>
      <c r="U177" s="6"/>
      <c r="V177" s="6"/>
      <c r="W177" s="6"/>
      <c r="X177" s="6"/>
      <c r="Y177" s="6"/>
      <c r="Z177" s="6"/>
      <c r="AA177" s="6"/>
      <c r="AB177" s="6" t="str">
        <f>IF(D175=D177,"","CREATE TABLE "&amp;D177&amp;" (")&amp;E177&amp;" "&amp;H177&amp;IF(K177&lt;&gt;"","("&amp;K177&amp;") ","")&amp;IF(P177="Y"," NOT NULL","")&amp;IF(N177="Y"," PRIMARY KEY","")&amp;IF(D177=D178,"",")")&amp;IF(D177=D178," , ",";")</f>
        <v xml:space="preserve">inpatient_id VARCHAR2(20)  , </v>
      </c>
      <c r="AC177" s="6" t="str">
        <f t="shared" si="9"/>
        <v>COMMENT ON COLUMN consultation.inpatient_id IS '病案号';</v>
      </c>
      <c r="AD177" s="6"/>
    </row>
    <row r="178" spans="1:30">
      <c r="A178" s="3">
        <v>152</v>
      </c>
      <c r="B178" s="7" t="s">
        <v>257</v>
      </c>
      <c r="C178" s="6"/>
      <c r="D178" s="21" t="s">
        <v>372</v>
      </c>
      <c r="E178" s="10" t="s">
        <v>411</v>
      </c>
      <c r="F178" s="10"/>
      <c r="G178" s="10" t="s">
        <v>412</v>
      </c>
      <c r="H178" s="7" t="s">
        <v>36</v>
      </c>
      <c r="I178" s="10" t="s">
        <v>128</v>
      </c>
      <c r="J178" s="7">
        <v>8</v>
      </c>
      <c r="K178" s="7">
        <v>8</v>
      </c>
      <c r="L178" s="6"/>
      <c r="M178" s="6"/>
      <c r="N178" s="6"/>
      <c r="O178" s="6"/>
      <c r="P178" s="6"/>
      <c r="Q178" s="6"/>
      <c r="R178" s="11"/>
      <c r="S178" s="6"/>
      <c r="T178" s="6"/>
      <c r="U178" s="6"/>
      <c r="V178" s="6"/>
      <c r="W178" s="6"/>
      <c r="X178" s="6"/>
      <c r="Y178" s="6"/>
      <c r="Z178" s="6"/>
      <c r="AA178" s="6"/>
      <c r="AB178" s="6" t="str">
        <f t="shared" si="10"/>
        <v xml:space="preserve">inpatient_times NUMBER(8)  , </v>
      </c>
      <c r="AC178" s="6" t="str">
        <f t="shared" si="9"/>
        <v>COMMENT ON COLUMN consultation.inpatient_times IS '住院次数';</v>
      </c>
      <c r="AD178" s="6"/>
    </row>
    <row r="179" spans="1:30">
      <c r="A179" s="3">
        <v>153</v>
      </c>
      <c r="B179" s="7" t="s">
        <v>257</v>
      </c>
      <c r="C179" s="6"/>
      <c r="D179" s="21" t="s">
        <v>372</v>
      </c>
      <c r="E179" s="10" t="s">
        <v>413</v>
      </c>
      <c r="F179" s="10"/>
      <c r="G179" s="10" t="s">
        <v>414</v>
      </c>
      <c r="H179" s="10" t="s">
        <v>47</v>
      </c>
      <c r="I179" s="10" t="s">
        <v>48</v>
      </c>
      <c r="J179" s="14">
        <v>10</v>
      </c>
      <c r="K179" s="14">
        <v>30</v>
      </c>
      <c r="L179" s="6"/>
      <c r="M179" s="6"/>
      <c r="N179" s="6"/>
      <c r="O179" s="6"/>
      <c r="P179" s="6"/>
      <c r="Q179" s="6"/>
      <c r="R179" s="11"/>
      <c r="S179" s="6"/>
      <c r="T179" s="6"/>
      <c r="U179" s="6"/>
      <c r="V179" s="6"/>
      <c r="W179" s="6"/>
      <c r="X179" s="6"/>
      <c r="Y179" s="6"/>
      <c r="Z179" s="6"/>
      <c r="AA179" s="6"/>
      <c r="AB179" s="6" t="str">
        <f t="shared" si="10"/>
        <v xml:space="preserve">bed_no VARCHAR2(30)  , </v>
      </c>
      <c r="AC179" s="6" t="str">
        <f t="shared" si="9"/>
        <v>COMMENT ON COLUMN consultation.bed_no IS '床号';</v>
      </c>
      <c r="AD179" s="6"/>
    </row>
    <row r="180" spans="1:30">
      <c r="A180" s="3">
        <v>154</v>
      </c>
      <c r="B180" s="7" t="s">
        <v>257</v>
      </c>
      <c r="C180" s="6"/>
      <c r="D180" s="21" t="s">
        <v>372</v>
      </c>
      <c r="E180" s="10" t="s">
        <v>415</v>
      </c>
      <c r="F180" s="10"/>
      <c r="G180" s="10" t="s">
        <v>416</v>
      </c>
      <c r="H180" s="10" t="s">
        <v>47</v>
      </c>
      <c r="I180" s="10" t="s">
        <v>48</v>
      </c>
      <c r="J180" s="14">
        <v>10</v>
      </c>
      <c r="K180" s="14">
        <v>30</v>
      </c>
      <c r="L180" s="6"/>
      <c r="M180" s="6"/>
      <c r="N180" s="6"/>
      <c r="O180" s="6"/>
      <c r="P180" s="6"/>
      <c r="Q180" s="6"/>
      <c r="R180" s="11"/>
      <c r="S180" s="6"/>
      <c r="T180" s="6"/>
      <c r="U180" s="6"/>
      <c r="V180" s="6"/>
      <c r="W180" s="6"/>
      <c r="X180" s="6"/>
      <c r="Y180" s="6"/>
      <c r="Z180" s="6"/>
      <c r="AA180" s="6"/>
      <c r="AB180" s="6" t="str">
        <f>IF(D179=D180,"","CREATE TABLE "&amp;D180&amp;" (")&amp;E180&amp;" "&amp;H180&amp;IF(K180&lt;&gt;"","("&amp;K180&amp;") ","")&amp;IF(P180="Y"," NOT NULL","")&amp;IF(N180="Y"," PRIMARY KEY","")&amp;IF(D180=D182,"",")")&amp;IF(D180=D182," , ",";")</f>
        <v xml:space="preserve">room VARCHAR2(30)  , </v>
      </c>
      <c r="AC180" s="6" t="str">
        <f t="shared" si="9"/>
        <v>COMMENT ON COLUMN consultation.room IS '病房';</v>
      </c>
      <c r="AD180" s="6"/>
    </row>
    <row r="181" spans="1:30">
      <c r="A181" s="3">
        <v>155</v>
      </c>
      <c r="B181" s="7" t="s">
        <v>257</v>
      </c>
      <c r="C181" s="6"/>
      <c r="D181" s="21" t="s">
        <v>372</v>
      </c>
      <c r="E181" s="10" t="s">
        <v>417</v>
      </c>
      <c r="F181" s="10"/>
      <c r="G181" s="10" t="s">
        <v>418</v>
      </c>
      <c r="H181" s="10" t="s">
        <v>336</v>
      </c>
      <c r="I181" s="10" t="s">
        <v>48</v>
      </c>
      <c r="J181" s="14">
        <v>10</v>
      </c>
      <c r="K181" s="14">
        <v>30</v>
      </c>
      <c r="L181" s="6"/>
      <c r="M181" s="6"/>
      <c r="N181" s="6"/>
      <c r="O181" s="6"/>
      <c r="P181" s="6"/>
      <c r="Q181" s="6"/>
      <c r="R181" s="11"/>
      <c r="S181" s="6"/>
      <c r="T181" s="6"/>
      <c r="U181" s="6"/>
      <c r="V181" s="6"/>
      <c r="W181" s="6"/>
      <c r="X181" s="6"/>
      <c r="Y181" s="6"/>
      <c r="Z181" s="6"/>
      <c r="AA181" s="6"/>
      <c r="AB181" s="6" t="str">
        <f>IF(D180=D181,"","CREATE TABLE "&amp;D181&amp;" (")&amp;E181&amp;" "&amp;H181&amp;IF(K181&lt;&gt;"","("&amp;K181&amp;") ","")&amp;IF(P181="Y"," NOT NULL","")&amp;IF(N181="Y"," PRIMARY KEY","")&amp;IF(D181=D183,"",")")&amp;IF(D181=D183," , ",";")</f>
        <v xml:space="preserve">ward VARCHAR2(30)  , </v>
      </c>
      <c r="AC181" s="6" t="str">
        <f t="shared" si="9"/>
        <v>COMMENT ON COLUMN consultation.ward IS '病区';</v>
      </c>
      <c r="AD181" s="6"/>
    </row>
    <row r="182" spans="1:30">
      <c r="A182" s="3">
        <v>156</v>
      </c>
      <c r="B182" s="7" t="s">
        <v>257</v>
      </c>
      <c r="C182" s="6"/>
      <c r="D182" s="21" t="s">
        <v>372</v>
      </c>
      <c r="E182" s="10" t="s">
        <v>419</v>
      </c>
      <c r="F182" s="10"/>
      <c r="G182" s="10" t="s">
        <v>420</v>
      </c>
      <c r="H182" s="7" t="s">
        <v>108</v>
      </c>
      <c r="I182" s="7" t="s">
        <v>48</v>
      </c>
      <c r="J182" s="9">
        <v>20</v>
      </c>
      <c r="K182" s="9">
        <v>20</v>
      </c>
      <c r="L182" s="6"/>
      <c r="M182" s="6"/>
      <c r="N182" s="6"/>
      <c r="O182" s="6"/>
      <c r="P182" s="6"/>
      <c r="Q182" s="6"/>
      <c r="R182" s="11"/>
      <c r="S182" s="6"/>
      <c r="T182" s="6"/>
      <c r="U182" s="6"/>
      <c r="V182" s="6"/>
      <c r="W182" s="6"/>
      <c r="X182" s="6"/>
      <c r="Y182" s="6"/>
      <c r="Z182" s="6"/>
      <c r="AA182" s="6"/>
      <c r="AB182" s="6" t="str">
        <f>IF(D180=D182,"","CREATE TABLE "&amp;D182&amp;" (")&amp;E182&amp;" "&amp;H182&amp;IF(K182&lt;&gt;"","("&amp;K182&amp;") ","")&amp;IF(P182="Y"," NOT NULL","")&amp;IF(N182="Y"," PRIMARY KEY","")&amp;IF(D182=D183,"",")")&amp;IF(D182=D183," , ",";")</f>
        <v xml:space="preserve">medical_advice_id VARCHAR2(20)  , </v>
      </c>
      <c r="AC182" s="6" t="str">
        <f t="shared" si="9"/>
        <v>COMMENT ON COLUMN consultation.medical_advice_id IS '医嘱号';</v>
      </c>
      <c r="AD182" s="6"/>
    </row>
    <row r="183" spans="1:30">
      <c r="A183" s="3">
        <v>157</v>
      </c>
      <c r="B183" s="7" t="s">
        <v>257</v>
      </c>
      <c r="C183" s="6"/>
      <c r="D183" s="21" t="s">
        <v>372</v>
      </c>
      <c r="E183" s="10" t="s">
        <v>421</v>
      </c>
      <c r="F183" s="10"/>
      <c r="G183" s="10" t="s">
        <v>422</v>
      </c>
      <c r="H183" s="10" t="s">
        <v>108</v>
      </c>
      <c r="I183" s="7" t="s">
        <v>48</v>
      </c>
      <c r="J183" s="9">
        <v>100</v>
      </c>
      <c r="K183" s="9">
        <v>100</v>
      </c>
      <c r="L183" s="6"/>
      <c r="M183" s="6"/>
      <c r="N183" s="6"/>
      <c r="O183" s="6"/>
      <c r="P183" s="6"/>
      <c r="Q183" s="6"/>
      <c r="R183" s="11"/>
      <c r="S183" s="6"/>
      <c r="T183" s="6"/>
      <c r="U183" s="6"/>
      <c r="V183" s="6"/>
      <c r="W183" s="6"/>
      <c r="X183" s="6"/>
      <c r="Y183" s="6"/>
      <c r="Z183" s="6"/>
      <c r="AA183" s="6"/>
      <c r="AB183" s="6" t="str">
        <f t="shared" si="10"/>
        <v xml:space="preserve">medical_advice_status VARCHAR2(100)  , </v>
      </c>
      <c r="AC183" s="6" t="str">
        <f t="shared" si="9"/>
        <v>COMMENT ON COLUMN consultation.medical_advice_status IS '医嘱状态';</v>
      </c>
      <c r="AD183" s="6"/>
    </row>
    <row r="184" spans="1:30">
      <c r="A184" s="3">
        <v>158</v>
      </c>
      <c r="B184" s="7" t="s">
        <v>257</v>
      </c>
      <c r="C184" s="6"/>
      <c r="D184" s="21" t="s">
        <v>372</v>
      </c>
      <c r="E184" s="10" t="s">
        <v>423</v>
      </c>
      <c r="F184" s="10"/>
      <c r="G184" s="10" t="s">
        <v>424</v>
      </c>
      <c r="H184" s="7" t="s">
        <v>36</v>
      </c>
      <c r="I184" s="7" t="s">
        <v>425</v>
      </c>
      <c r="J184" s="14">
        <v>12</v>
      </c>
      <c r="K184" s="14">
        <v>9</v>
      </c>
      <c r="L184" s="6">
        <v>2</v>
      </c>
      <c r="M184" s="6"/>
      <c r="N184" s="6"/>
      <c r="O184" s="6"/>
      <c r="P184" s="6" t="s">
        <v>38</v>
      </c>
      <c r="Q184" s="6"/>
      <c r="R184" s="11">
        <v>0</v>
      </c>
      <c r="S184" s="6"/>
      <c r="T184" s="6"/>
      <c r="U184" s="6"/>
      <c r="V184" s="6"/>
      <c r="W184" s="6"/>
      <c r="X184" s="6"/>
      <c r="Y184" s="6"/>
      <c r="Z184" s="6"/>
      <c r="AA184" s="6"/>
      <c r="AB184" s="6" t="str">
        <f t="shared" si="10"/>
        <v xml:space="preserve">consultation_fees NUMBER(9)  NOT NULL , </v>
      </c>
      <c r="AC184" s="6" t="str">
        <f t="shared" si="9"/>
        <v>COMMENT ON COLUMN consultation.consultation_fees IS '会诊费额';</v>
      </c>
      <c r="AD184" s="6"/>
    </row>
    <row r="185" spans="1:30">
      <c r="A185" s="3">
        <v>159</v>
      </c>
      <c r="B185" s="7" t="s">
        <v>257</v>
      </c>
      <c r="C185" s="6"/>
      <c r="D185" s="21" t="s">
        <v>372</v>
      </c>
      <c r="E185" s="10" t="s">
        <v>426</v>
      </c>
      <c r="F185" s="10"/>
      <c r="G185" s="10" t="s">
        <v>427</v>
      </c>
      <c r="H185" s="7" t="s">
        <v>36</v>
      </c>
      <c r="I185" s="7" t="s">
        <v>128</v>
      </c>
      <c r="J185" s="9">
        <v>1</v>
      </c>
      <c r="K185" s="9">
        <v>1</v>
      </c>
      <c r="L185" s="6"/>
      <c r="M185" s="6"/>
      <c r="N185" s="6"/>
      <c r="O185" s="6"/>
      <c r="P185" s="7" t="s">
        <v>38</v>
      </c>
      <c r="Q185" s="6"/>
      <c r="R185" s="11"/>
      <c r="S185" s="6"/>
      <c r="T185" s="6"/>
      <c r="U185" s="6"/>
      <c r="V185" s="6"/>
      <c r="W185" s="6"/>
      <c r="X185" s="6"/>
      <c r="Y185" s="6"/>
      <c r="Z185" s="6"/>
      <c r="AA185" s="6"/>
      <c r="AB185" s="6" t="str">
        <f t="shared" si="10"/>
        <v xml:space="preserve">payment_print_flag NUMBER(1)  NOT NULL , </v>
      </c>
      <c r="AC185" s="6" t="str">
        <f t="shared" si="9"/>
        <v>COMMENT ON COLUMN consultation.payment_print_flag IS '是否打印缴费单';</v>
      </c>
      <c r="AD185" s="6"/>
    </row>
    <row r="186" spans="1:30">
      <c r="A186" s="3">
        <v>160</v>
      </c>
      <c r="B186" s="7" t="s">
        <v>257</v>
      </c>
      <c r="C186" s="6"/>
      <c r="D186" s="21" t="s">
        <v>372</v>
      </c>
      <c r="E186" s="10" t="s">
        <v>428</v>
      </c>
      <c r="F186" s="10"/>
      <c r="G186" s="10" t="s">
        <v>429</v>
      </c>
      <c r="H186" s="7" t="s">
        <v>36</v>
      </c>
      <c r="I186" s="7" t="s">
        <v>128</v>
      </c>
      <c r="J186" s="9">
        <v>1</v>
      </c>
      <c r="K186" s="9">
        <v>1</v>
      </c>
      <c r="L186" s="6"/>
      <c r="M186" s="6"/>
      <c r="N186" s="6"/>
      <c r="O186" s="6"/>
      <c r="P186" s="7" t="s">
        <v>38</v>
      </c>
      <c r="Q186" s="6"/>
      <c r="R186" s="11"/>
      <c r="S186" s="6"/>
      <c r="T186" s="6"/>
      <c r="U186" s="6"/>
      <c r="V186" s="6"/>
      <c r="W186" s="6"/>
      <c r="X186" s="6"/>
      <c r="Y186" s="6"/>
      <c r="Z186" s="6"/>
      <c r="AA186" s="6"/>
      <c r="AB186" s="6" t="str">
        <f t="shared" si="10"/>
        <v xml:space="preserve">payment_status NUMBER(1)  NOT NULL , </v>
      </c>
      <c r="AC186" s="6" t="str">
        <f t="shared" si="9"/>
        <v>COMMENT ON COLUMN consultation.payment_status IS '缴费状态';</v>
      </c>
      <c r="AD186" s="6"/>
    </row>
    <row r="187" spans="1:30">
      <c r="A187" s="3">
        <v>161</v>
      </c>
      <c r="B187" s="7" t="s">
        <v>257</v>
      </c>
      <c r="C187" s="6"/>
      <c r="D187" s="21" t="s">
        <v>372</v>
      </c>
      <c r="E187" s="10" t="s">
        <v>430</v>
      </c>
      <c r="F187" s="10"/>
      <c r="G187" s="10" t="s">
        <v>431</v>
      </c>
      <c r="H187" s="10" t="s">
        <v>108</v>
      </c>
      <c r="I187" s="10" t="s">
        <v>48</v>
      </c>
      <c r="J187" s="9">
        <v>200</v>
      </c>
      <c r="K187" s="9">
        <v>600</v>
      </c>
      <c r="L187" s="6"/>
      <c r="M187" s="6"/>
      <c r="N187" s="6"/>
      <c r="O187" s="6"/>
      <c r="P187" s="6"/>
      <c r="Q187" s="6"/>
      <c r="R187" s="11"/>
      <c r="S187" s="6"/>
      <c r="T187" s="6"/>
      <c r="U187" s="6"/>
      <c r="V187" s="6"/>
      <c r="W187" s="6"/>
      <c r="X187" s="6"/>
      <c r="Y187" s="6"/>
      <c r="Z187" s="6"/>
      <c r="AA187" s="6"/>
      <c r="AB187" s="6" t="str">
        <f t="shared" si="10"/>
        <v xml:space="preserve">remarks VARCHAR2(600)  , </v>
      </c>
      <c r="AC187" s="6" t="str">
        <f t="shared" ref="AC187:AC250" si="11">"COMMENT ON COLUMN "&amp;D187&amp;"."&amp;E187&amp;" IS '"&amp;G187&amp;"';"</f>
        <v>COMMENT ON COLUMN consultation.remarks IS '备注';</v>
      </c>
      <c r="AD187" s="6"/>
    </row>
    <row r="188" spans="1:30">
      <c r="A188" s="3">
        <v>162</v>
      </c>
      <c r="B188" s="7" t="s">
        <v>257</v>
      </c>
      <c r="C188" s="6"/>
      <c r="D188" s="21" t="s">
        <v>372</v>
      </c>
      <c r="E188" s="10" t="s">
        <v>432</v>
      </c>
      <c r="F188" s="10"/>
      <c r="G188" s="10" t="s">
        <v>433</v>
      </c>
      <c r="H188" s="7" t="s">
        <v>36</v>
      </c>
      <c r="I188" s="7" t="s">
        <v>128</v>
      </c>
      <c r="J188" s="9">
        <v>1</v>
      </c>
      <c r="K188" s="9">
        <v>1</v>
      </c>
      <c r="L188" s="6"/>
      <c r="M188" s="6"/>
      <c r="N188" s="6"/>
      <c r="O188" s="6"/>
      <c r="P188" s="7" t="s">
        <v>38</v>
      </c>
      <c r="Q188" s="6"/>
      <c r="R188" s="11"/>
      <c r="S188" s="6"/>
      <c r="T188" s="6"/>
      <c r="U188" s="6"/>
      <c r="V188" s="6"/>
      <c r="W188" s="6"/>
      <c r="X188" s="6"/>
      <c r="Y188" s="6"/>
      <c r="Z188" s="6"/>
      <c r="AA188" s="6"/>
      <c r="AB188" s="6" t="str">
        <f t="shared" si="10"/>
        <v xml:space="preserve">delete_flag NUMBER(1)  NOT NULL , </v>
      </c>
      <c r="AC188" s="6" t="str">
        <f t="shared" si="11"/>
        <v>COMMENT ON COLUMN consultation.delete_flag IS '删除标记';</v>
      </c>
      <c r="AD188" s="6"/>
    </row>
    <row r="189" spans="1:30">
      <c r="A189" s="3">
        <v>163</v>
      </c>
      <c r="B189" s="7" t="s">
        <v>257</v>
      </c>
      <c r="C189" s="6"/>
      <c r="D189" s="21" t="s">
        <v>372</v>
      </c>
      <c r="E189" s="10" t="s">
        <v>434</v>
      </c>
      <c r="F189" s="10"/>
      <c r="G189" s="10" t="s">
        <v>435</v>
      </c>
      <c r="H189" s="10" t="s">
        <v>108</v>
      </c>
      <c r="I189" s="7" t="s">
        <v>48</v>
      </c>
      <c r="J189" s="9">
        <v>100</v>
      </c>
      <c r="K189" s="9">
        <v>300</v>
      </c>
      <c r="L189" s="6"/>
      <c r="M189" s="6"/>
      <c r="N189" s="6"/>
      <c r="O189" s="6"/>
      <c r="P189" s="6"/>
      <c r="Q189" s="6"/>
      <c r="R189" s="11"/>
      <c r="S189" s="6"/>
      <c r="T189" s="6"/>
      <c r="U189" s="6"/>
      <c r="V189" s="6"/>
      <c r="W189" s="6"/>
      <c r="X189" s="6"/>
      <c r="Y189" s="6"/>
      <c r="Z189" s="6"/>
      <c r="AA189" s="6"/>
      <c r="AB189" s="6" t="str">
        <f t="shared" si="10"/>
        <v xml:space="preserve">delete_reason VARCHAR2(300)  , </v>
      </c>
      <c r="AC189" s="6" t="str">
        <f t="shared" si="11"/>
        <v>COMMENT ON COLUMN consultation.delete_reason IS '删除原因';</v>
      </c>
      <c r="AD189" s="6"/>
    </row>
    <row r="190" spans="1:30">
      <c r="A190" s="3">
        <v>164</v>
      </c>
      <c r="B190" s="7" t="s">
        <v>257</v>
      </c>
      <c r="C190" s="6"/>
      <c r="D190" s="21" t="s">
        <v>372</v>
      </c>
      <c r="E190" s="10" t="s">
        <v>305</v>
      </c>
      <c r="F190" s="10"/>
      <c r="G190" s="10" t="s">
        <v>306</v>
      </c>
      <c r="H190" s="10" t="s">
        <v>36</v>
      </c>
      <c r="I190" s="10" t="s">
        <v>177</v>
      </c>
      <c r="J190" s="9">
        <v>11</v>
      </c>
      <c r="K190" s="9">
        <v>11</v>
      </c>
      <c r="L190" s="6"/>
      <c r="M190" s="6"/>
      <c r="N190" s="6"/>
      <c r="O190" s="6"/>
      <c r="P190" s="6"/>
      <c r="Q190" s="6"/>
      <c r="R190" s="11"/>
      <c r="S190" s="6"/>
      <c r="T190" s="6"/>
      <c r="U190" s="6"/>
      <c r="V190" s="6"/>
      <c r="W190" s="6"/>
      <c r="X190" s="6"/>
      <c r="Y190" s="6"/>
      <c r="Z190" s="6"/>
      <c r="AA190" s="6"/>
      <c r="AB190" s="6" t="str">
        <f t="shared" si="10"/>
        <v xml:space="preserve">creator NUMBER(11)  , </v>
      </c>
      <c r="AC190" s="6" t="str">
        <f t="shared" si="11"/>
        <v>COMMENT ON COLUMN consultation.creator IS '创建者标识';</v>
      </c>
      <c r="AD190" s="6"/>
    </row>
    <row r="191" spans="1:30">
      <c r="A191" s="3">
        <v>165</v>
      </c>
      <c r="B191" s="7" t="s">
        <v>257</v>
      </c>
      <c r="C191" s="6"/>
      <c r="D191" s="21" t="s">
        <v>372</v>
      </c>
      <c r="E191" s="10" t="s">
        <v>307</v>
      </c>
      <c r="F191" s="10"/>
      <c r="G191" s="10" t="s">
        <v>308</v>
      </c>
      <c r="H191" s="10" t="s">
        <v>309</v>
      </c>
      <c r="I191" s="7" t="s">
        <v>187</v>
      </c>
      <c r="J191" s="14"/>
      <c r="K191" s="14"/>
      <c r="L191" s="6"/>
      <c r="M191" s="6"/>
      <c r="N191" s="6"/>
      <c r="O191" s="6"/>
      <c r="P191" s="6"/>
      <c r="Q191" s="6"/>
      <c r="R191" s="11"/>
      <c r="S191" s="6"/>
      <c r="T191" s="6"/>
      <c r="U191" s="6"/>
      <c r="V191" s="6"/>
      <c r="W191" s="6"/>
      <c r="X191" s="6"/>
      <c r="Y191" s="6"/>
      <c r="Z191" s="6"/>
      <c r="AA191" s="6"/>
      <c r="AB191" s="6" t="str">
        <f t="shared" si="10"/>
        <v xml:space="preserve">create_time DATE , </v>
      </c>
      <c r="AC191" s="6" t="str">
        <f t="shared" si="11"/>
        <v>COMMENT ON COLUMN consultation.create_time IS '创建时间';</v>
      </c>
      <c r="AD191" s="6"/>
    </row>
    <row r="192" spans="1:30">
      <c r="A192" s="3">
        <v>166</v>
      </c>
      <c r="B192" s="7" t="s">
        <v>257</v>
      </c>
      <c r="C192" s="6"/>
      <c r="D192" s="21" t="s">
        <v>372</v>
      </c>
      <c r="E192" s="10" t="s">
        <v>436</v>
      </c>
      <c r="F192" s="10"/>
      <c r="G192" s="10" t="s">
        <v>437</v>
      </c>
      <c r="H192" s="10" t="s">
        <v>186</v>
      </c>
      <c r="I192" s="7" t="s">
        <v>187</v>
      </c>
      <c r="J192" s="14"/>
      <c r="K192" s="14"/>
      <c r="L192" s="6"/>
      <c r="M192" s="6"/>
      <c r="N192" s="6"/>
      <c r="O192" s="6"/>
      <c r="P192" s="6"/>
      <c r="Q192" s="6"/>
      <c r="R192" s="11"/>
      <c r="S192" s="6"/>
      <c r="T192" s="6"/>
      <c r="U192" s="6"/>
      <c r="V192" s="6"/>
      <c r="W192" s="6"/>
      <c r="X192" s="6"/>
      <c r="Y192" s="6"/>
      <c r="Z192" s="6"/>
      <c r="AA192" s="6"/>
      <c r="AB192" s="6" t="str">
        <f t="shared" si="10"/>
        <v xml:space="preserve">update_time DATE , </v>
      </c>
      <c r="AC192" s="6" t="str">
        <f t="shared" si="11"/>
        <v>COMMENT ON COLUMN consultation.update_time IS '更新时间';</v>
      </c>
      <c r="AD192" s="6"/>
    </row>
    <row r="193" spans="1:31">
      <c r="A193" s="3">
        <v>167</v>
      </c>
      <c r="B193" s="7" t="s">
        <v>257</v>
      </c>
      <c r="C193" s="6"/>
      <c r="D193" s="21" t="s">
        <v>372</v>
      </c>
      <c r="E193" s="10" t="s">
        <v>367</v>
      </c>
      <c r="F193" s="10"/>
      <c r="G193" s="10" t="s">
        <v>368</v>
      </c>
      <c r="H193" s="7" t="s">
        <v>262</v>
      </c>
      <c r="I193" s="7" t="s">
        <v>177</v>
      </c>
      <c r="J193" s="7">
        <v>11</v>
      </c>
      <c r="K193" s="7">
        <v>11</v>
      </c>
      <c r="L193" s="6"/>
      <c r="M193" s="6"/>
      <c r="N193" s="6"/>
      <c r="O193" s="6"/>
      <c r="P193" s="6"/>
      <c r="Q193" s="6"/>
      <c r="R193" s="11"/>
      <c r="S193" s="6"/>
      <c r="T193" s="6"/>
      <c r="U193" s="6"/>
      <c r="V193" s="6"/>
      <c r="W193" s="6"/>
      <c r="X193" s="6"/>
      <c r="Y193" s="6"/>
      <c r="Z193" s="6"/>
      <c r="AA193" s="6"/>
      <c r="AB193" s="6" t="str">
        <f t="shared" si="10"/>
        <v xml:space="preserve">updater NUMBER(11)  , </v>
      </c>
      <c r="AC193" s="6" t="str">
        <f t="shared" si="11"/>
        <v>COMMENT ON COLUMN consultation.updater IS '更新者标识';</v>
      </c>
      <c r="AD193" s="6"/>
    </row>
    <row r="194" spans="1:31">
      <c r="A194" s="3">
        <v>168</v>
      </c>
      <c r="B194" s="7" t="s">
        <v>257</v>
      </c>
      <c r="C194" s="6"/>
      <c r="D194" s="21" t="s">
        <v>372</v>
      </c>
      <c r="E194" s="10" t="s">
        <v>438</v>
      </c>
      <c r="F194" s="10"/>
      <c r="G194" s="10" t="s">
        <v>439</v>
      </c>
      <c r="H194" s="7" t="s">
        <v>36</v>
      </c>
      <c r="I194" s="10" t="s">
        <v>128</v>
      </c>
      <c r="J194" s="7">
        <v>8</v>
      </c>
      <c r="K194" s="7">
        <v>8</v>
      </c>
      <c r="L194" s="6"/>
      <c r="M194" s="6"/>
      <c r="N194" s="6"/>
      <c r="O194" s="6"/>
      <c r="P194" s="6"/>
      <c r="Q194" s="6"/>
      <c r="R194" s="11"/>
      <c r="S194" s="6"/>
      <c r="T194" s="6"/>
      <c r="U194" s="6"/>
      <c r="V194" s="6"/>
      <c r="W194" s="6"/>
      <c r="X194" s="6"/>
      <c r="Y194" s="6"/>
      <c r="Z194" s="6"/>
      <c r="AA194" s="6"/>
      <c r="AB194" s="6" t="str">
        <f t="shared" si="10"/>
        <v xml:space="preserve">update_count NUMBER(8)  , </v>
      </c>
      <c r="AC194" s="6" t="str">
        <f t="shared" si="11"/>
        <v>COMMENT ON COLUMN consultation.update_count IS '更新次数';</v>
      </c>
      <c r="AD194" s="6"/>
    </row>
    <row r="195" spans="1:31">
      <c r="A195" s="3">
        <v>169</v>
      </c>
      <c r="B195" s="7" t="s">
        <v>257</v>
      </c>
      <c r="C195" s="6"/>
      <c r="D195" s="21" t="s">
        <v>372</v>
      </c>
      <c r="E195" s="10" t="s">
        <v>440</v>
      </c>
      <c r="F195" s="10"/>
      <c r="G195" s="10" t="s">
        <v>441</v>
      </c>
      <c r="H195" s="7" t="s">
        <v>36</v>
      </c>
      <c r="I195" s="7" t="s">
        <v>177</v>
      </c>
      <c r="J195" s="7">
        <v>11</v>
      </c>
      <c r="K195" s="7">
        <v>11</v>
      </c>
      <c r="L195" s="6"/>
      <c r="M195" s="6"/>
      <c r="N195" s="6"/>
      <c r="O195" s="6"/>
      <c r="P195" s="6"/>
      <c r="Q195" s="6"/>
      <c r="R195" s="11"/>
      <c r="S195" s="6"/>
      <c r="T195" s="6"/>
      <c r="U195" s="6"/>
      <c r="V195" s="6"/>
      <c r="W195" s="6"/>
      <c r="X195" s="6"/>
      <c r="Y195" s="6"/>
      <c r="Z195" s="6"/>
      <c r="AA195" s="6"/>
      <c r="AB195" s="6" t="str">
        <f>IF(D194=D195,"","CREATE TABLE "&amp;D195&amp;" (")&amp;E195&amp;" "&amp;H195&amp;IF(K195&lt;&gt;"","("&amp;K195&amp;") ","")&amp;IF(P195="Y"," NOT NULL","")&amp;IF(N195="Y"," PRIMARY KEY","")&amp;IF(D195=D197,"",")")&amp;IF(D195=D197," , ",";")</f>
        <v>approval_doctor_id NUMBER(11) );</v>
      </c>
      <c r="AC195" s="6" t="str">
        <f t="shared" si="11"/>
        <v>COMMENT ON COLUMN consultation.approval_doctor_id IS '当前待审批者';</v>
      </c>
      <c r="AD195" s="6"/>
    </row>
    <row r="196" spans="1:31">
      <c r="A196" s="3">
        <v>170</v>
      </c>
      <c r="B196" s="7" t="s">
        <v>257</v>
      </c>
      <c r="C196" s="6"/>
      <c r="D196" s="21" t="s">
        <v>372</v>
      </c>
      <c r="E196" s="10" t="s">
        <v>442</v>
      </c>
      <c r="F196" s="10"/>
      <c r="G196" s="10" t="s">
        <v>443</v>
      </c>
      <c r="H196" s="7" t="s">
        <v>36</v>
      </c>
      <c r="I196" s="10" t="s">
        <v>128</v>
      </c>
      <c r="J196" s="7">
        <v>1</v>
      </c>
      <c r="K196" s="7">
        <v>1</v>
      </c>
      <c r="L196" s="6"/>
      <c r="M196" s="6"/>
      <c r="N196" s="6"/>
      <c r="O196" s="6"/>
      <c r="P196" s="6"/>
      <c r="Q196" s="6"/>
      <c r="R196" s="11"/>
      <c r="S196" s="6"/>
      <c r="T196" s="6"/>
      <c r="U196" s="6"/>
      <c r="V196" s="6"/>
      <c r="W196" s="6"/>
      <c r="X196" s="6"/>
      <c r="Y196" s="6"/>
      <c r="Z196" s="6"/>
      <c r="AA196" s="6"/>
      <c r="AB196" s="6" t="str">
        <f>IF(D195=D196,"","CREATE TABLE "&amp;D196&amp;" (")&amp;E196&amp;" "&amp;H196&amp;IF(K196&lt;&gt;"","("&amp;K196&amp;") ","")&amp;IF(P196="Y"," NOT NULL","")&amp;IF(N196="Y"," PRIMARY KEY","")&amp;IF(D196=D198,"",")")&amp;IF(D196=D198," , ",";")</f>
        <v>patient_source NUMBER(1) );</v>
      </c>
      <c r="AC196" s="6" t="str">
        <f t="shared" si="11"/>
        <v>COMMENT ON COLUMN consultation.patient_source IS '患者来源';</v>
      </c>
      <c r="AD196" s="6"/>
    </row>
    <row r="197" spans="1:31">
      <c r="A197" s="3">
        <v>171</v>
      </c>
      <c r="B197" s="3" t="s">
        <v>257</v>
      </c>
      <c r="C197" s="4" t="s">
        <v>444</v>
      </c>
      <c r="D197" s="4" t="s">
        <v>445</v>
      </c>
      <c r="E197" s="19" t="s">
        <v>446</v>
      </c>
      <c r="F197" s="19"/>
      <c r="G197" s="19" t="s">
        <v>447</v>
      </c>
      <c r="H197" s="3" t="s">
        <v>36</v>
      </c>
      <c r="I197" s="3" t="s">
        <v>65</v>
      </c>
      <c r="J197" s="3">
        <v>11</v>
      </c>
      <c r="K197" s="3">
        <v>11</v>
      </c>
      <c r="L197" s="4"/>
      <c r="M197" s="4"/>
      <c r="N197" s="3" t="s">
        <v>38</v>
      </c>
      <c r="O197" s="3" t="s">
        <v>448</v>
      </c>
      <c r="P197" s="3" t="s">
        <v>38</v>
      </c>
      <c r="Q197" s="4"/>
      <c r="R197" s="12"/>
      <c r="S197" s="4"/>
      <c r="T197" s="4"/>
      <c r="U197" s="4"/>
      <c r="V197" s="4"/>
      <c r="W197" s="4"/>
      <c r="X197" s="4"/>
      <c r="Y197" s="4"/>
      <c r="Z197" s="4"/>
      <c r="AA197" s="4"/>
      <c r="AB197" s="4" t="str">
        <f>IF(D195=D197,"","CREATE TABLE "&amp;D197&amp;" (")&amp;E197&amp;" "&amp;H197&amp;IF(K197&lt;&gt;"","("&amp;K197&amp;") ","")&amp;IF(P197="Y"," NOT NULL","")&amp;IF(N197="Y"," PRIMARY KEY","")&amp;IF(D197=D198,"",")")&amp;IF(D197=D198," , ",";")</f>
        <v xml:space="preserve">CREATE TABLE suggestion (suggestion_id NUMBER(11)  NOT NULL PRIMARY KEY , </v>
      </c>
      <c r="AC197" s="4" t="str">
        <f t="shared" si="11"/>
        <v>COMMENT ON COLUMN suggestion.suggestion_id IS '会诊意见编号';</v>
      </c>
      <c r="AD197" s="4" t="str">
        <f>"CREATE SEQUENCE seq_"&amp;D197&amp;" MINVALUE 1 MAXVALUE 9999999999999999999 INCREMENT BY 1 START WITH 1 CACHE 20 NOORDER NOCYCLE ;"</f>
        <v>CREATE SEQUENCE seq_suggestion MINVALUE 1 MAXVALUE 9999999999999999999 INCREMENT BY 1 START WITH 1 CACHE 20 NOORDER NOCYCLE ;</v>
      </c>
      <c r="AE197" s="5"/>
    </row>
    <row r="198" spans="1:31">
      <c r="A198" s="3">
        <v>172</v>
      </c>
      <c r="B198" s="7" t="s">
        <v>257</v>
      </c>
      <c r="C198" s="6"/>
      <c r="D198" s="6" t="s">
        <v>445</v>
      </c>
      <c r="E198" s="10" t="s">
        <v>449</v>
      </c>
      <c r="F198" s="10"/>
      <c r="G198" s="10" t="s">
        <v>374</v>
      </c>
      <c r="H198" s="7" t="s">
        <v>36</v>
      </c>
      <c r="I198" s="7" t="s">
        <v>65</v>
      </c>
      <c r="J198" s="7">
        <v>11</v>
      </c>
      <c r="K198" s="7">
        <v>11</v>
      </c>
      <c r="L198" s="6"/>
      <c r="M198" s="6"/>
      <c r="N198" s="6"/>
      <c r="O198" s="6"/>
      <c r="P198" s="6" t="s">
        <v>38</v>
      </c>
      <c r="Q198" s="6"/>
      <c r="R198" s="11"/>
      <c r="S198" s="6"/>
      <c r="T198" s="6"/>
      <c r="U198" s="6"/>
      <c r="V198" s="6"/>
      <c r="W198" s="6"/>
      <c r="X198" s="6"/>
      <c r="Y198" s="6"/>
      <c r="Z198" s="6"/>
      <c r="AA198" s="6"/>
      <c r="AB198" s="6" t="str">
        <f t="shared" si="10"/>
        <v xml:space="preserve">consultation_id NUMBER(11)  NOT NULL , </v>
      </c>
      <c r="AC198" s="6" t="str">
        <f t="shared" si="11"/>
        <v>COMMENT ON COLUMN suggestion.consultation_id IS '会诊单标识';</v>
      </c>
      <c r="AD198" s="6"/>
    </row>
    <row r="199" spans="1:31">
      <c r="A199" s="3">
        <v>173</v>
      </c>
      <c r="B199" s="7" t="s">
        <v>257</v>
      </c>
      <c r="C199" s="6"/>
      <c r="D199" s="6" t="s">
        <v>445</v>
      </c>
      <c r="E199" s="10" t="s">
        <v>450</v>
      </c>
      <c r="F199" s="10"/>
      <c r="G199" s="10" t="s">
        <v>451</v>
      </c>
      <c r="H199" s="10" t="s">
        <v>47</v>
      </c>
      <c r="I199" s="10" t="s">
        <v>48</v>
      </c>
      <c r="J199" s="9">
        <v>300</v>
      </c>
      <c r="K199" s="9">
        <v>900</v>
      </c>
      <c r="L199" s="6"/>
      <c r="M199" s="6"/>
      <c r="N199" s="6"/>
      <c r="O199" s="6"/>
      <c r="P199" s="6"/>
      <c r="Q199" s="6"/>
      <c r="R199" s="11"/>
      <c r="S199" s="6"/>
      <c r="T199" s="6"/>
      <c r="U199" s="6"/>
      <c r="V199" s="6"/>
      <c r="W199" s="6"/>
      <c r="X199" s="6"/>
      <c r="Y199" s="6"/>
      <c r="Z199" s="6"/>
      <c r="AA199" s="6"/>
      <c r="AB199" s="6" t="str">
        <f t="shared" si="10"/>
        <v xml:space="preserve">content VARCHAR2(900)  , </v>
      </c>
      <c r="AC199" s="6" t="str">
        <f t="shared" si="11"/>
        <v>COMMENT ON COLUMN suggestion.content IS '会诊意见';</v>
      </c>
      <c r="AD199" s="6"/>
    </row>
    <row r="200" spans="1:31">
      <c r="A200" s="3">
        <v>174</v>
      </c>
      <c r="B200" s="7" t="s">
        <v>257</v>
      </c>
      <c r="C200" s="6"/>
      <c r="D200" s="6" t="s">
        <v>445</v>
      </c>
      <c r="E200" s="10" t="s">
        <v>307</v>
      </c>
      <c r="F200" s="10"/>
      <c r="G200" s="10" t="s">
        <v>308</v>
      </c>
      <c r="H200" s="10" t="s">
        <v>309</v>
      </c>
      <c r="I200" s="7" t="s">
        <v>187</v>
      </c>
      <c r="J200" s="14"/>
      <c r="K200" s="14"/>
      <c r="L200" s="6"/>
      <c r="M200" s="6"/>
      <c r="N200" s="6"/>
      <c r="O200" s="6"/>
      <c r="P200" s="6"/>
      <c r="Q200" s="6"/>
      <c r="R200" s="11"/>
      <c r="S200" s="6"/>
      <c r="T200" s="6"/>
      <c r="U200" s="6"/>
      <c r="V200" s="6"/>
      <c r="W200" s="6"/>
      <c r="X200" s="6"/>
      <c r="Y200" s="6"/>
      <c r="Z200" s="6"/>
      <c r="AA200" s="6"/>
      <c r="AB200" s="6" t="str">
        <f t="shared" si="10"/>
        <v xml:space="preserve">create_time DATE , </v>
      </c>
      <c r="AC200" s="6" t="str">
        <f t="shared" si="11"/>
        <v>COMMENT ON COLUMN suggestion.create_time IS '创建时间';</v>
      </c>
      <c r="AD200" s="6"/>
    </row>
    <row r="201" spans="1:31">
      <c r="A201" s="3">
        <v>175</v>
      </c>
      <c r="B201" s="7" t="s">
        <v>257</v>
      </c>
      <c r="C201" s="6"/>
      <c r="D201" s="6" t="s">
        <v>445</v>
      </c>
      <c r="E201" s="10" t="s">
        <v>305</v>
      </c>
      <c r="F201" s="10"/>
      <c r="G201" s="10" t="s">
        <v>306</v>
      </c>
      <c r="H201" s="10" t="s">
        <v>36</v>
      </c>
      <c r="I201" s="10" t="s">
        <v>177</v>
      </c>
      <c r="J201" s="9">
        <v>11</v>
      </c>
      <c r="K201" s="9">
        <v>11</v>
      </c>
      <c r="L201" s="6"/>
      <c r="M201" s="6"/>
      <c r="N201" s="6"/>
      <c r="O201" s="6"/>
      <c r="P201" s="6"/>
      <c r="Q201" s="6"/>
      <c r="R201" s="11"/>
      <c r="S201" s="6"/>
      <c r="T201" s="6"/>
      <c r="U201" s="6"/>
      <c r="V201" s="6"/>
      <c r="W201" s="6"/>
      <c r="X201" s="6"/>
      <c r="Y201" s="6"/>
      <c r="Z201" s="6"/>
      <c r="AA201" s="6"/>
      <c r="AB201" s="6" t="str">
        <f t="shared" si="10"/>
        <v>creator NUMBER(11) );</v>
      </c>
      <c r="AC201" s="6" t="str">
        <f t="shared" si="11"/>
        <v>COMMENT ON COLUMN suggestion.creator IS '创建者标识';</v>
      </c>
      <c r="AD201" s="6"/>
    </row>
    <row r="202" spans="1:31">
      <c r="A202" s="3">
        <v>176</v>
      </c>
      <c r="B202" s="3" t="s">
        <v>257</v>
      </c>
      <c r="C202" s="4" t="s">
        <v>452</v>
      </c>
      <c r="D202" s="24" t="s">
        <v>453</v>
      </c>
      <c r="E202" s="19" t="s">
        <v>454</v>
      </c>
      <c r="F202" s="19"/>
      <c r="G202" s="19" t="s">
        <v>447</v>
      </c>
      <c r="H202" s="3" t="s">
        <v>36</v>
      </c>
      <c r="I202" s="3" t="s">
        <v>65</v>
      </c>
      <c r="J202" s="3">
        <v>11</v>
      </c>
      <c r="K202" s="3">
        <v>11</v>
      </c>
      <c r="L202" s="4"/>
      <c r="M202" s="4"/>
      <c r="N202" s="3" t="s">
        <v>38</v>
      </c>
      <c r="O202" s="3"/>
      <c r="P202" s="3" t="s">
        <v>38</v>
      </c>
      <c r="Q202" s="4"/>
      <c r="R202" s="12"/>
      <c r="S202" s="4"/>
      <c r="T202" s="4"/>
      <c r="U202" s="4"/>
      <c r="V202" s="4"/>
      <c r="W202" s="4"/>
      <c r="X202" s="4"/>
      <c r="Y202" s="4"/>
      <c r="Z202" s="4"/>
      <c r="AA202" s="4"/>
      <c r="AB202" s="4" t="str">
        <f t="shared" si="10"/>
        <v xml:space="preserve">CREATE TABLE doctor_suggestion (suggestion_id NUMBER(11)  NOT NULL PRIMARY KEY , </v>
      </c>
      <c r="AC202" s="4" t="str">
        <f t="shared" si="11"/>
        <v>COMMENT ON COLUMN doctor_suggestion.suggestion_id IS '会诊意见编号';</v>
      </c>
      <c r="AD202" s="4" t="str">
        <f>"CREATE SEQUENCE seq_"&amp;D202&amp;" MINVALUE 1 MAXVALUE 9999999999999999999 INCREMENT BY 1 START WITH 1 CACHE 20 NOORDER NOCYCLE ;"</f>
        <v>CREATE SEQUENCE seq_doctor_suggestion MINVALUE 1 MAXVALUE 9999999999999999999 INCREMENT BY 1 START WITH 1 CACHE 20 NOORDER NOCYCLE ;</v>
      </c>
      <c r="AE202" s="5"/>
    </row>
    <row r="203" spans="1:31">
      <c r="A203" s="3">
        <v>177</v>
      </c>
      <c r="B203" s="7" t="s">
        <v>257</v>
      </c>
      <c r="C203" s="6"/>
      <c r="D203" s="6" t="s">
        <v>453</v>
      </c>
      <c r="E203" s="10" t="s">
        <v>449</v>
      </c>
      <c r="F203" s="10"/>
      <c r="G203" s="10" t="s">
        <v>374</v>
      </c>
      <c r="H203" s="7" t="s">
        <v>36</v>
      </c>
      <c r="I203" s="7" t="s">
        <v>65</v>
      </c>
      <c r="J203" s="7">
        <v>11</v>
      </c>
      <c r="K203" s="7">
        <v>11</v>
      </c>
      <c r="L203" s="6"/>
      <c r="M203" s="6"/>
      <c r="N203" s="6"/>
      <c r="O203" s="6"/>
      <c r="P203" s="6" t="s">
        <v>38</v>
      </c>
      <c r="Q203" s="6"/>
      <c r="R203" s="11"/>
      <c r="S203" s="6"/>
      <c r="T203" s="6"/>
      <c r="U203" s="6"/>
      <c r="V203" s="6"/>
      <c r="W203" s="6"/>
      <c r="X203" s="6"/>
      <c r="Y203" s="6"/>
      <c r="Z203" s="6"/>
      <c r="AA203" s="6"/>
      <c r="AB203" s="6" t="str">
        <f t="shared" si="10"/>
        <v xml:space="preserve">consultation_id NUMBER(11)  NOT NULL , </v>
      </c>
      <c r="AC203" s="6" t="str">
        <f t="shared" si="11"/>
        <v>COMMENT ON COLUMN doctor_suggestion.consultation_id IS '会诊单标识';</v>
      </c>
      <c r="AD203" s="6"/>
    </row>
    <row r="204" spans="1:31">
      <c r="A204" s="3">
        <v>178</v>
      </c>
      <c r="B204" s="7" t="s">
        <v>257</v>
      </c>
      <c r="C204" s="6"/>
      <c r="D204" s="6" t="s">
        <v>453</v>
      </c>
      <c r="E204" s="13" t="s">
        <v>455</v>
      </c>
      <c r="F204" s="13"/>
      <c r="G204" s="13" t="s">
        <v>456</v>
      </c>
      <c r="H204" s="25" t="s">
        <v>36</v>
      </c>
      <c r="I204" s="7" t="s">
        <v>65</v>
      </c>
      <c r="J204" s="25">
        <v>11</v>
      </c>
      <c r="K204" s="25">
        <v>11</v>
      </c>
      <c r="L204" s="6"/>
      <c r="M204" s="6"/>
      <c r="N204" s="6" t="s">
        <v>38</v>
      </c>
      <c r="O204" s="6"/>
      <c r="P204" s="6" t="s">
        <v>38</v>
      </c>
      <c r="Q204" s="6"/>
      <c r="R204" s="11"/>
      <c r="S204" s="6"/>
      <c r="T204" s="6"/>
      <c r="U204" s="6"/>
      <c r="V204" s="6"/>
      <c r="W204" s="6"/>
      <c r="X204" s="6"/>
      <c r="Y204" s="6"/>
      <c r="Z204" s="6"/>
      <c r="AA204" s="6"/>
      <c r="AB204" s="6" t="str">
        <f t="shared" si="10"/>
        <v xml:space="preserve">doctor_id NUMBER(11)  NOT NULL PRIMARY KEY , </v>
      </c>
      <c r="AC204" s="6" t="str">
        <f t="shared" si="11"/>
        <v>COMMENT ON COLUMN doctor_suggestion.doctor_id IS '会诊医生标识';</v>
      </c>
      <c r="AD204" s="6"/>
    </row>
    <row r="205" spans="1:31">
      <c r="A205" s="3">
        <v>179</v>
      </c>
      <c r="B205" s="7" t="s">
        <v>257</v>
      </c>
      <c r="C205" s="6"/>
      <c r="D205" s="6" t="s">
        <v>453</v>
      </c>
      <c r="E205" s="13" t="s">
        <v>326</v>
      </c>
      <c r="F205" s="13"/>
      <c r="G205" s="13" t="s">
        <v>263</v>
      </c>
      <c r="H205" s="13" t="s">
        <v>47</v>
      </c>
      <c r="I205" s="7" t="s">
        <v>48</v>
      </c>
      <c r="J205" s="22">
        <v>20</v>
      </c>
      <c r="K205" s="22">
        <v>60</v>
      </c>
      <c r="L205" s="6"/>
      <c r="M205" s="6"/>
      <c r="N205" s="6"/>
      <c r="O205" s="6"/>
      <c r="P205" s="6"/>
      <c r="Q205" s="6"/>
      <c r="R205" s="11"/>
      <c r="S205" s="6"/>
      <c r="T205" s="6"/>
      <c r="U205" s="6"/>
      <c r="V205" s="6"/>
      <c r="W205" s="6"/>
      <c r="X205" s="6"/>
      <c r="Y205" s="6"/>
      <c r="Z205" s="6"/>
      <c r="AA205" s="6"/>
      <c r="AB205" s="6" t="str">
        <f t="shared" si="10"/>
        <v xml:space="preserve">unit_name VARCHAR2(60)  , </v>
      </c>
      <c r="AC205" s="6" t="str">
        <f t="shared" si="11"/>
        <v>COMMENT ON COLUMN doctor_suggestion.unit_name IS '医院名称';</v>
      </c>
      <c r="AD205" s="6"/>
    </row>
    <row r="206" spans="1:31">
      <c r="A206" s="3">
        <v>180</v>
      </c>
      <c r="B206" s="7" t="s">
        <v>257</v>
      </c>
      <c r="C206" s="6"/>
      <c r="D206" s="6" t="s">
        <v>453</v>
      </c>
      <c r="E206" s="13" t="s">
        <v>457</v>
      </c>
      <c r="F206" s="26"/>
      <c r="G206" s="26" t="s">
        <v>458</v>
      </c>
      <c r="H206" s="13" t="s">
        <v>47</v>
      </c>
      <c r="I206" s="7" t="s">
        <v>48</v>
      </c>
      <c r="J206" s="22">
        <v>20</v>
      </c>
      <c r="K206" s="22">
        <v>60</v>
      </c>
      <c r="L206" s="6"/>
      <c r="M206" s="6"/>
      <c r="N206" s="6"/>
      <c r="O206" s="6"/>
      <c r="P206" s="6"/>
      <c r="Q206" s="6"/>
      <c r="R206" s="11"/>
      <c r="S206" s="6"/>
      <c r="T206" s="6"/>
      <c r="U206" s="6"/>
      <c r="V206" s="6"/>
      <c r="W206" s="6"/>
      <c r="X206" s="6"/>
      <c r="Y206" s="6"/>
      <c r="Z206" s="6"/>
      <c r="AA206" s="6"/>
      <c r="AB206" s="6" t="str">
        <f t="shared" si="10"/>
        <v xml:space="preserve">clinic_name VARCHAR2(60)  , </v>
      </c>
      <c r="AC206" s="6" t="str">
        <f t="shared" si="11"/>
        <v>COMMENT ON COLUMN doctor_suggestion.clinic_name IS '科室名称';</v>
      </c>
      <c r="AD206" s="6"/>
    </row>
    <row r="207" spans="1:31">
      <c r="A207" s="3">
        <v>181</v>
      </c>
      <c r="B207" s="7" t="s">
        <v>257</v>
      </c>
      <c r="C207" s="6"/>
      <c r="D207" s="6" t="s">
        <v>453</v>
      </c>
      <c r="E207" s="23" t="s">
        <v>459</v>
      </c>
      <c r="F207" s="10"/>
      <c r="G207" s="10" t="s">
        <v>460</v>
      </c>
      <c r="H207" s="27" t="s">
        <v>47</v>
      </c>
      <c r="I207" s="7" t="s">
        <v>48</v>
      </c>
      <c r="J207" s="25">
        <v>10</v>
      </c>
      <c r="K207" s="25">
        <v>30</v>
      </c>
      <c r="L207" s="6"/>
      <c r="M207" s="6"/>
      <c r="N207" s="6"/>
      <c r="O207" s="6"/>
      <c r="P207" s="6"/>
      <c r="Q207" s="6"/>
      <c r="R207" s="11"/>
      <c r="S207" s="6"/>
      <c r="T207" s="6"/>
      <c r="U207" s="6"/>
      <c r="V207" s="6"/>
      <c r="W207" s="6"/>
      <c r="X207" s="6"/>
      <c r="Y207" s="6"/>
      <c r="Z207" s="6"/>
      <c r="AA207" s="6"/>
      <c r="AB207" s="6" t="str">
        <f t="shared" si="10"/>
        <v xml:space="preserve">doctor_name VARCHAR2(30)  , </v>
      </c>
      <c r="AC207" s="6" t="str">
        <f t="shared" si="11"/>
        <v>COMMENT ON COLUMN doctor_suggestion.doctor_name IS '姓名';</v>
      </c>
      <c r="AD207" s="6"/>
    </row>
    <row r="208" spans="1:31">
      <c r="A208" s="3">
        <v>182</v>
      </c>
      <c r="B208" s="7" t="s">
        <v>257</v>
      </c>
      <c r="C208" s="6"/>
      <c r="D208" s="6" t="s">
        <v>453</v>
      </c>
      <c r="E208" s="10" t="s">
        <v>307</v>
      </c>
      <c r="F208" s="10"/>
      <c r="G208" s="10" t="s">
        <v>308</v>
      </c>
      <c r="H208" s="13" t="s">
        <v>309</v>
      </c>
      <c r="I208" s="7" t="s">
        <v>187</v>
      </c>
      <c r="J208" s="28"/>
      <c r="K208" s="28"/>
      <c r="L208" s="6"/>
      <c r="M208" s="6"/>
      <c r="N208" s="6"/>
      <c r="O208" s="6"/>
      <c r="P208" s="6"/>
      <c r="Q208" s="6"/>
      <c r="R208" s="11"/>
      <c r="S208" s="6"/>
      <c r="T208" s="6"/>
      <c r="U208" s="6"/>
      <c r="V208" s="6"/>
      <c r="W208" s="6"/>
      <c r="X208" s="6"/>
      <c r="Y208" s="6"/>
      <c r="Z208" s="6"/>
      <c r="AA208" s="6"/>
      <c r="AB208" s="6" t="str">
        <f t="shared" si="10"/>
        <v xml:space="preserve">create_time DATE , </v>
      </c>
      <c r="AC208" s="6" t="str">
        <f t="shared" si="11"/>
        <v>COMMENT ON COLUMN doctor_suggestion.create_time IS '创建时间';</v>
      </c>
      <c r="AD208" s="6"/>
    </row>
    <row r="209" spans="1:31">
      <c r="A209" s="3">
        <v>183</v>
      </c>
      <c r="B209" s="7" t="s">
        <v>257</v>
      </c>
      <c r="C209" s="6"/>
      <c r="D209" s="6" t="s">
        <v>453</v>
      </c>
      <c r="E209" s="10" t="s">
        <v>305</v>
      </c>
      <c r="F209" s="10"/>
      <c r="G209" s="10" t="s">
        <v>306</v>
      </c>
      <c r="H209" s="10" t="s">
        <v>36</v>
      </c>
      <c r="I209" s="10" t="s">
        <v>177</v>
      </c>
      <c r="J209" s="9">
        <v>11</v>
      </c>
      <c r="K209" s="9">
        <v>11</v>
      </c>
      <c r="L209" s="6"/>
      <c r="M209" s="6"/>
      <c r="N209" s="6"/>
      <c r="O209" s="6"/>
      <c r="P209" s="6"/>
      <c r="Q209" s="6"/>
      <c r="R209" s="11"/>
      <c r="S209" s="6"/>
      <c r="T209" s="6"/>
      <c r="U209" s="6"/>
      <c r="V209" s="6"/>
      <c r="W209" s="6"/>
      <c r="X209" s="6"/>
      <c r="Y209" s="6"/>
      <c r="Z209" s="6"/>
      <c r="AA209" s="6"/>
      <c r="AB209" s="6" t="str">
        <f t="shared" si="10"/>
        <v>creator NUMBER(11) );</v>
      </c>
      <c r="AC209" s="6" t="str">
        <f t="shared" si="11"/>
        <v>COMMENT ON COLUMN doctor_suggestion.creator IS '创建者标识';</v>
      </c>
      <c r="AD209" s="6"/>
    </row>
    <row r="210" spans="1:31">
      <c r="A210" s="3">
        <v>184</v>
      </c>
      <c r="B210" s="3" t="s">
        <v>257</v>
      </c>
      <c r="C210" s="4" t="s">
        <v>461</v>
      </c>
      <c r="D210" s="4" t="s">
        <v>462</v>
      </c>
      <c r="E210" s="19" t="s">
        <v>463</v>
      </c>
      <c r="F210" s="19"/>
      <c r="G210" s="19" t="s">
        <v>464</v>
      </c>
      <c r="H210" s="4" t="s">
        <v>36</v>
      </c>
      <c r="I210" s="3" t="s">
        <v>65</v>
      </c>
      <c r="J210" s="3">
        <v>11</v>
      </c>
      <c r="K210" s="3">
        <v>11</v>
      </c>
      <c r="L210" s="4"/>
      <c r="M210" s="4"/>
      <c r="N210" s="3" t="s">
        <v>38</v>
      </c>
      <c r="O210" s="3" t="s">
        <v>465</v>
      </c>
      <c r="P210" s="3" t="s">
        <v>38</v>
      </c>
      <c r="Q210" s="4"/>
      <c r="R210" s="12"/>
      <c r="S210" s="4"/>
      <c r="T210" s="4"/>
      <c r="U210" s="4"/>
      <c r="V210" s="4"/>
      <c r="W210" s="4"/>
      <c r="X210" s="4"/>
      <c r="Y210" s="4"/>
      <c r="Z210" s="4"/>
      <c r="AA210" s="4"/>
      <c r="AB210" s="4" t="str">
        <f t="shared" si="10"/>
        <v xml:space="preserve">CREATE TABLE attachment (file_id NUMBER(11)  NOT NULL PRIMARY KEY , </v>
      </c>
      <c r="AC210" s="4" t="str">
        <f t="shared" si="11"/>
        <v>COMMENT ON COLUMN attachment.file_id IS '文件标识';</v>
      </c>
      <c r="AD210" s="4" t="str">
        <f>"CREATE SEQUENCE seq_"&amp;D210&amp;" MINVALUE 1 MAXVALUE 9999999999999999999 INCREMENT BY 1 START WITH 1 CACHE 20 NOORDER NOCYCLE ;"</f>
        <v>CREATE SEQUENCE seq_attachment MINVALUE 1 MAXVALUE 9999999999999999999 INCREMENT BY 1 START WITH 1 CACHE 20 NOORDER NOCYCLE ;</v>
      </c>
      <c r="AE210" s="5"/>
    </row>
    <row r="211" spans="1:31">
      <c r="A211" s="3">
        <v>185</v>
      </c>
      <c r="B211" s="7" t="s">
        <v>257</v>
      </c>
      <c r="C211" s="6"/>
      <c r="D211" s="6" t="s">
        <v>462</v>
      </c>
      <c r="E211" s="10" t="s">
        <v>449</v>
      </c>
      <c r="F211" s="10"/>
      <c r="G211" s="10" t="s">
        <v>374</v>
      </c>
      <c r="H211" s="7" t="s">
        <v>36</v>
      </c>
      <c r="I211" s="7" t="s">
        <v>65</v>
      </c>
      <c r="J211" s="7">
        <v>11</v>
      </c>
      <c r="K211" s="7">
        <v>11</v>
      </c>
      <c r="L211" s="6"/>
      <c r="M211" s="6"/>
      <c r="N211" s="6"/>
      <c r="O211" s="6"/>
      <c r="P211" s="6" t="s">
        <v>38</v>
      </c>
      <c r="Q211" s="6"/>
      <c r="R211" s="11"/>
      <c r="S211" s="6"/>
      <c r="T211" s="6"/>
      <c r="U211" s="6"/>
      <c r="V211" s="6"/>
      <c r="W211" s="6"/>
      <c r="X211" s="6"/>
      <c r="Y211" s="6"/>
      <c r="Z211" s="6"/>
      <c r="AA211" s="6"/>
      <c r="AB211" s="6" t="str">
        <f t="shared" si="10"/>
        <v xml:space="preserve">consultation_id NUMBER(11)  NOT NULL , </v>
      </c>
      <c r="AC211" s="6" t="str">
        <f t="shared" si="11"/>
        <v>COMMENT ON COLUMN attachment.consultation_id IS '会诊单标识';</v>
      </c>
      <c r="AD211" s="6"/>
    </row>
    <row r="212" spans="1:31">
      <c r="A212" s="3">
        <v>186</v>
      </c>
      <c r="B212" s="7" t="s">
        <v>257</v>
      </c>
      <c r="C212" s="6"/>
      <c r="D212" s="6" t="s">
        <v>462</v>
      </c>
      <c r="E212" s="10" t="s">
        <v>466</v>
      </c>
      <c r="F212" s="10"/>
      <c r="G212" s="10" t="s">
        <v>467</v>
      </c>
      <c r="H212" s="10" t="s">
        <v>108</v>
      </c>
      <c r="I212" s="7" t="s">
        <v>48</v>
      </c>
      <c r="J212" s="9">
        <v>200</v>
      </c>
      <c r="K212" s="9">
        <v>200</v>
      </c>
      <c r="L212" s="6"/>
      <c r="M212" s="6"/>
      <c r="N212" s="6"/>
      <c r="O212" s="6"/>
      <c r="P212" s="6" t="s">
        <v>38</v>
      </c>
      <c r="Q212" s="6"/>
      <c r="R212" s="11"/>
      <c r="S212" s="6"/>
      <c r="T212" s="6"/>
      <c r="U212" s="6"/>
      <c r="V212" s="6"/>
      <c r="W212" s="6"/>
      <c r="X212" s="6"/>
      <c r="Y212" s="6"/>
      <c r="Z212" s="6"/>
      <c r="AA212" s="6"/>
      <c r="AB212" s="6" t="str">
        <f t="shared" si="10"/>
        <v xml:space="preserve">file_name VARCHAR2(200)  NOT NULL , </v>
      </c>
      <c r="AC212" s="6" t="str">
        <f t="shared" si="11"/>
        <v>COMMENT ON COLUMN attachment.file_name IS '文件名';</v>
      </c>
      <c r="AD212" s="6"/>
    </row>
    <row r="213" spans="1:31">
      <c r="A213" s="3">
        <v>187</v>
      </c>
      <c r="B213" s="7" t="s">
        <v>257</v>
      </c>
      <c r="C213" s="6"/>
      <c r="D213" s="6" t="s">
        <v>462</v>
      </c>
      <c r="E213" s="10" t="s">
        <v>468</v>
      </c>
      <c r="F213" s="10"/>
      <c r="G213" s="10" t="s">
        <v>469</v>
      </c>
      <c r="H213" s="7" t="s">
        <v>36</v>
      </c>
      <c r="I213" s="7" t="s">
        <v>128</v>
      </c>
      <c r="J213" s="9">
        <v>2</v>
      </c>
      <c r="K213" s="9">
        <v>2</v>
      </c>
      <c r="L213" s="6"/>
      <c r="M213" s="6"/>
      <c r="N213" s="6"/>
      <c r="O213" s="6"/>
      <c r="P213" s="7" t="s">
        <v>378</v>
      </c>
      <c r="Q213" s="6"/>
      <c r="R213" s="11"/>
      <c r="S213" s="6"/>
      <c r="T213" s="6"/>
      <c r="U213" s="6"/>
      <c r="V213" s="6"/>
      <c r="W213" s="6"/>
      <c r="X213" s="6"/>
      <c r="Y213" s="6"/>
      <c r="Z213" s="6"/>
      <c r="AA213" s="6"/>
      <c r="AB213" s="6" t="str">
        <f t="shared" si="10"/>
        <v xml:space="preserve">file_type NUMBER(2)  NOT NULL , </v>
      </c>
      <c r="AC213" s="6" t="str">
        <f t="shared" si="11"/>
        <v>COMMENT ON COLUMN attachment.file_type IS '文件类别';</v>
      </c>
      <c r="AD213" s="6"/>
    </row>
    <row r="214" spans="1:31">
      <c r="A214" s="3">
        <v>188</v>
      </c>
      <c r="B214" s="7" t="s">
        <v>257</v>
      </c>
      <c r="C214" s="6"/>
      <c r="D214" s="6" t="s">
        <v>462</v>
      </c>
      <c r="E214" s="10" t="s">
        <v>470</v>
      </c>
      <c r="F214" s="10"/>
      <c r="G214" s="10" t="s">
        <v>471</v>
      </c>
      <c r="H214" s="10" t="s">
        <v>108</v>
      </c>
      <c r="I214" s="7" t="s">
        <v>48</v>
      </c>
      <c r="J214" s="9">
        <v>200</v>
      </c>
      <c r="K214" s="9">
        <v>600</v>
      </c>
      <c r="L214" s="6"/>
      <c r="M214" s="6"/>
      <c r="N214" s="6"/>
      <c r="O214" s="6"/>
      <c r="P214" s="6"/>
      <c r="Q214" s="6"/>
      <c r="R214" s="11"/>
      <c r="S214" s="6"/>
      <c r="T214" s="6"/>
      <c r="U214" s="6"/>
      <c r="V214" s="6"/>
      <c r="W214" s="6"/>
      <c r="X214" s="6"/>
      <c r="Y214" s="6"/>
      <c r="Z214" s="6"/>
      <c r="AA214" s="6"/>
      <c r="AB214" s="6" t="str">
        <f t="shared" si="10"/>
        <v xml:space="preserve">file_describe VARCHAR2(600)  , </v>
      </c>
      <c r="AC214" s="6" t="str">
        <f t="shared" si="11"/>
        <v>COMMENT ON COLUMN attachment.file_describe IS '文件描述';</v>
      </c>
      <c r="AD214" s="6"/>
    </row>
    <row r="215" spans="1:31">
      <c r="A215" s="3">
        <v>189</v>
      </c>
      <c r="B215" s="7" t="s">
        <v>257</v>
      </c>
      <c r="C215" s="6"/>
      <c r="D215" s="6" t="s">
        <v>462</v>
      </c>
      <c r="E215" s="10" t="s">
        <v>472</v>
      </c>
      <c r="F215" s="10"/>
      <c r="G215" s="10" t="s">
        <v>473</v>
      </c>
      <c r="H215" s="10" t="s">
        <v>108</v>
      </c>
      <c r="I215" s="7" t="s">
        <v>48</v>
      </c>
      <c r="J215" s="9">
        <v>100</v>
      </c>
      <c r="K215" s="9">
        <v>100</v>
      </c>
      <c r="L215" s="6"/>
      <c r="M215" s="6"/>
      <c r="N215" s="6"/>
      <c r="O215" s="6"/>
      <c r="P215" s="6"/>
      <c r="Q215" s="6"/>
      <c r="R215" s="11"/>
      <c r="S215" s="6"/>
      <c r="T215" s="6"/>
      <c r="U215" s="6"/>
      <c r="V215" s="6"/>
      <c r="W215" s="6"/>
      <c r="X215" s="6"/>
      <c r="Y215" s="6"/>
      <c r="Z215" s="6"/>
      <c r="AA215" s="6"/>
      <c r="AB215" s="6" t="str">
        <f t="shared" si="10"/>
        <v xml:space="preserve">file_size VARCHAR2(100)  , </v>
      </c>
      <c r="AC215" s="6" t="str">
        <f t="shared" si="11"/>
        <v>COMMENT ON COLUMN attachment.file_size IS '文件大小';</v>
      </c>
      <c r="AD215" s="6"/>
    </row>
    <row r="216" spans="1:31">
      <c r="A216" s="3">
        <v>190</v>
      </c>
      <c r="B216" s="7" t="s">
        <v>257</v>
      </c>
      <c r="C216" s="6"/>
      <c r="D216" s="6" t="s">
        <v>462</v>
      </c>
      <c r="E216" s="10" t="s">
        <v>474</v>
      </c>
      <c r="F216" s="10"/>
      <c r="G216" s="10" t="s">
        <v>475</v>
      </c>
      <c r="H216" s="10" t="s">
        <v>108</v>
      </c>
      <c r="I216" s="7" t="s">
        <v>48</v>
      </c>
      <c r="J216" s="9">
        <v>200</v>
      </c>
      <c r="K216" s="9">
        <v>200</v>
      </c>
      <c r="L216" s="6"/>
      <c r="M216" s="6"/>
      <c r="N216" s="6"/>
      <c r="O216" s="6"/>
      <c r="P216" s="6" t="s">
        <v>378</v>
      </c>
      <c r="Q216" s="6"/>
      <c r="R216" s="11"/>
      <c r="S216" s="6"/>
      <c r="T216" s="6"/>
      <c r="U216" s="6"/>
      <c r="V216" s="6"/>
      <c r="W216" s="6"/>
      <c r="X216" s="6"/>
      <c r="Y216" s="6"/>
      <c r="Z216" s="6"/>
      <c r="AA216" s="6"/>
      <c r="AB216" s="6" t="str">
        <f t="shared" si="10"/>
        <v xml:space="preserve">file_path VARCHAR2(200)  NOT NULL , </v>
      </c>
      <c r="AC216" s="6" t="str">
        <f t="shared" si="11"/>
        <v>COMMENT ON COLUMN attachment.file_path IS '文件路径';</v>
      </c>
      <c r="AD216" s="6"/>
    </row>
    <row r="217" spans="1:31">
      <c r="A217" s="3">
        <v>191</v>
      </c>
      <c r="B217" s="7" t="s">
        <v>257</v>
      </c>
      <c r="C217" s="6"/>
      <c r="D217" s="6" t="s">
        <v>462</v>
      </c>
      <c r="E217" s="10" t="s">
        <v>307</v>
      </c>
      <c r="F217" s="10"/>
      <c r="G217" s="10" t="s">
        <v>308</v>
      </c>
      <c r="H217" s="10" t="s">
        <v>309</v>
      </c>
      <c r="I217" s="7" t="s">
        <v>187</v>
      </c>
      <c r="J217" s="14"/>
      <c r="K217" s="14"/>
      <c r="L217" s="6"/>
      <c r="M217" s="6"/>
      <c r="N217" s="6"/>
      <c r="O217" s="6"/>
      <c r="P217" s="6"/>
      <c r="Q217" s="6"/>
      <c r="R217" s="11"/>
      <c r="S217" s="6"/>
      <c r="T217" s="6"/>
      <c r="U217" s="6"/>
      <c r="V217" s="6"/>
      <c r="W217" s="6"/>
      <c r="X217" s="6"/>
      <c r="Y217" s="6"/>
      <c r="Z217" s="6"/>
      <c r="AA217" s="6"/>
      <c r="AB217" s="6" t="str">
        <f t="shared" si="10"/>
        <v xml:space="preserve">create_time DATE , </v>
      </c>
      <c r="AC217" s="6" t="str">
        <f t="shared" si="11"/>
        <v>COMMENT ON COLUMN attachment.create_time IS '创建时间';</v>
      </c>
      <c r="AD217" s="6"/>
    </row>
    <row r="218" spans="1:31">
      <c r="A218" s="3">
        <v>192</v>
      </c>
      <c r="B218" s="7" t="s">
        <v>257</v>
      </c>
      <c r="C218" s="6"/>
      <c r="D218" s="6" t="s">
        <v>462</v>
      </c>
      <c r="E218" s="10" t="s">
        <v>305</v>
      </c>
      <c r="F218" s="10"/>
      <c r="G218" s="10" t="s">
        <v>306</v>
      </c>
      <c r="H218" s="10" t="s">
        <v>36</v>
      </c>
      <c r="I218" s="10" t="s">
        <v>177</v>
      </c>
      <c r="J218" s="9">
        <v>11</v>
      </c>
      <c r="K218" s="9">
        <v>11</v>
      </c>
      <c r="L218" s="6"/>
      <c r="M218" s="6"/>
      <c r="N218" s="6"/>
      <c r="O218" s="6"/>
      <c r="P218" s="6"/>
      <c r="Q218" s="6"/>
      <c r="R218" s="11"/>
      <c r="S218" s="6"/>
      <c r="T218" s="6"/>
      <c r="U218" s="6"/>
      <c r="V218" s="6"/>
      <c r="W218" s="6"/>
      <c r="X218" s="6"/>
      <c r="Y218" s="6"/>
      <c r="Z218" s="6"/>
      <c r="AA218" s="6"/>
      <c r="AB218" s="6" t="str">
        <f t="shared" si="10"/>
        <v>creator NUMBER(11) );</v>
      </c>
      <c r="AC218" s="6" t="str">
        <f t="shared" si="11"/>
        <v>COMMENT ON COLUMN attachment.creator IS '创建者标识';</v>
      </c>
      <c r="AD218" s="6"/>
    </row>
    <row r="219" spans="1:31">
      <c r="A219" s="3">
        <v>193</v>
      </c>
      <c r="B219" s="3" t="s">
        <v>257</v>
      </c>
      <c r="C219" s="4" t="s">
        <v>476</v>
      </c>
      <c r="D219" s="3" t="s">
        <v>477</v>
      </c>
      <c r="E219" s="3" t="s">
        <v>478</v>
      </c>
      <c r="F219" s="3"/>
      <c r="G219" s="3" t="s">
        <v>479</v>
      </c>
      <c r="H219" s="3" t="s">
        <v>36</v>
      </c>
      <c r="I219" s="3" t="s">
        <v>128</v>
      </c>
      <c r="J219" s="3">
        <v>8</v>
      </c>
      <c r="K219" s="3">
        <v>8</v>
      </c>
      <c r="L219" s="3"/>
      <c r="M219" s="3"/>
      <c r="N219" s="3" t="s">
        <v>38</v>
      </c>
      <c r="O219" s="3"/>
      <c r="P219" s="3" t="s">
        <v>38</v>
      </c>
      <c r="Q219" s="3"/>
      <c r="R219" s="3"/>
      <c r="S219" s="4"/>
      <c r="T219" s="4"/>
      <c r="U219" s="4"/>
      <c r="V219" s="4"/>
      <c r="W219" s="4"/>
      <c r="X219" s="4"/>
      <c r="Y219" s="4"/>
      <c r="Z219" s="4"/>
      <c r="AA219" s="4"/>
      <c r="AB219" s="4" t="str">
        <f t="shared" si="10"/>
        <v xml:space="preserve">CREATE TABLE conprocess (process_Id NUMBER(8)  NOT NULL PRIMARY KEY , </v>
      </c>
      <c r="AC219" s="4" t="str">
        <f t="shared" si="11"/>
        <v>COMMENT ON COLUMN conprocess.process_Id IS '流程类型标识';</v>
      </c>
      <c r="AD219" s="4" t="str">
        <f>"CREATE SEQUENCE seq_"&amp;D219&amp;" MINVALUE 1 MAXVALUE 9999999999999999999 INCREMENT BY 1 START WITH 1 CACHE 20 NOORDER NOCYCLE ;"</f>
        <v>CREATE SEQUENCE seq_conprocess MINVALUE 1 MAXVALUE 9999999999999999999 INCREMENT BY 1 START WITH 1 CACHE 20 NOORDER NOCYCLE ;</v>
      </c>
      <c r="AE219" s="5"/>
    </row>
    <row r="220" spans="1:31">
      <c r="A220" s="3">
        <v>194</v>
      </c>
      <c r="B220" s="7" t="s">
        <v>257</v>
      </c>
      <c r="C220" s="6"/>
      <c r="D220" s="7" t="s">
        <v>477</v>
      </c>
      <c r="E220" s="7" t="s">
        <v>178</v>
      </c>
      <c r="F220" s="7"/>
      <c r="G220" s="7" t="s">
        <v>480</v>
      </c>
      <c r="H220" s="7" t="s">
        <v>47</v>
      </c>
      <c r="I220" s="7" t="s">
        <v>48</v>
      </c>
      <c r="J220" s="7">
        <v>20</v>
      </c>
      <c r="K220" s="7">
        <v>20</v>
      </c>
      <c r="L220" s="7"/>
      <c r="M220" s="7"/>
      <c r="N220" s="7"/>
      <c r="O220" s="7"/>
      <c r="P220" s="7"/>
      <c r="Q220" s="7"/>
      <c r="R220" s="7"/>
      <c r="S220" s="6"/>
      <c r="T220" s="6"/>
      <c r="U220" s="6"/>
      <c r="V220" s="6"/>
      <c r="W220" s="6"/>
      <c r="X220" s="6"/>
      <c r="Y220" s="6"/>
      <c r="Z220" s="6"/>
      <c r="AA220" s="6"/>
      <c r="AB220" s="6" t="str">
        <f t="shared" si="10"/>
        <v>name VARCHAR2(20) );</v>
      </c>
      <c r="AC220" s="6" t="str">
        <f t="shared" si="11"/>
        <v>COMMENT ON COLUMN conprocess.name IS '流程类型名';</v>
      </c>
      <c r="AD220" s="6"/>
    </row>
    <row r="221" spans="1:31">
      <c r="A221" s="3">
        <v>195</v>
      </c>
      <c r="B221" s="3" t="s">
        <v>257</v>
      </c>
      <c r="C221" s="4" t="s">
        <v>481</v>
      </c>
      <c r="D221" s="3" t="s">
        <v>482</v>
      </c>
      <c r="E221" s="3" t="s">
        <v>483</v>
      </c>
      <c r="F221" s="3"/>
      <c r="G221" s="29" t="s">
        <v>484</v>
      </c>
      <c r="H221" s="3" t="s">
        <v>36</v>
      </c>
      <c r="I221" s="3" t="s">
        <v>128</v>
      </c>
      <c r="J221" s="3">
        <v>8</v>
      </c>
      <c r="K221" s="3">
        <v>8</v>
      </c>
      <c r="L221" s="3"/>
      <c r="M221" s="3"/>
      <c r="N221" s="3" t="s">
        <v>38</v>
      </c>
      <c r="O221" s="3"/>
      <c r="P221" s="3" t="s">
        <v>38</v>
      </c>
      <c r="Q221" s="3"/>
      <c r="R221" s="3"/>
      <c r="S221" s="4"/>
      <c r="T221" s="4"/>
      <c r="U221" s="4"/>
      <c r="V221" s="4"/>
      <c r="W221" s="4"/>
      <c r="X221" s="4"/>
      <c r="Y221" s="4"/>
      <c r="Z221" s="4"/>
      <c r="AA221" s="4"/>
      <c r="AB221" s="4" t="str">
        <f t="shared" si="10"/>
        <v xml:space="preserve">CREATE TABLE activity (activity_id NUMBER(8)  NOT NULL PRIMARY KEY , </v>
      </c>
      <c r="AC221" s="4" t="str">
        <f t="shared" si="11"/>
        <v>COMMENT ON COLUMN activity.activity_id IS '流程节点标识';</v>
      </c>
      <c r="AD221" s="4" t="str">
        <f>"CREATE SEQUENCE seq_"&amp;D221&amp;" MINVALUE 1 MAXVALUE 9999999999999999999 INCREMENT BY 1 START WITH 1 CACHE 20 NOORDER NOCYCLE ;"</f>
        <v>CREATE SEQUENCE seq_activity MINVALUE 1 MAXVALUE 9999999999999999999 INCREMENT BY 1 START WITH 1 CACHE 20 NOORDER NOCYCLE ;</v>
      </c>
      <c r="AE221" s="5"/>
    </row>
    <row r="222" spans="1:31">
      <c r="A222" s="3">
        <v>196</v>
      </c>
      <c r="B222" s="7" t="s">
        <v>257</v>
      </c>
      <c r="C222" s="30"/>
      <c r="D222" s="7" t="s">
        <v>485</v>
      </c>
      <c r="E222" s="7" t="s">
        <v>486</v>
      </c>
      <c r="F222" s="7"/>
      <c r="G222" s="7" t="s">
        <v>479</v>
      </c>
      <c r="H222" s="7" t="s">
        <v>36</v>
      </c>
      <c r="I222" s="7" t="s">
        <v>128</v>
      </c>
      <c r="J222" s="7">
        <v>8</v>
      </c>
      <c r="K222" s="7">
        <v>8</v>
      </c>
      <c r="L222" s="7"/>
      <c r="M222" s="7"/>
      <c r="N222" s="7" t="s">
        <v>38</v>
      </c>
      <c r="O222" s="7"/>
      <c r="P222" s="7" t="s">
        <v>38</v>
      </c>
      <c r="Q222" s="7"/>
      <c r="R222" s="7"/>
      <c r="S222" s="6"/>
      <c r="T222" s="6"/>
      <c r="U222" s="6"/>
      <c r="V222" s="6"/>
      <c r="W222" s="6"/>
      <c r="X222" s="6"/>
      <c r="Y222" s="6"/>
      <c r="Z222" s="6"/>
      <c r="AA222" s="6"/>
      <c r="AB222" s="6" t="str">
        <f t="shared" ref="AB222:AB277" si="12">IF(D221=D222,"","CREATE TABLE "&amp;D222&amp;" (")&amp;E222&amp;" "&amp;H222&amp;IF(K222&lt;&gt;"","("&amp;K222&amp;") ","")&amp;IF(P222="Y"," NOT NULL","")&amp;IF(N222="Y"," PRIMARY KEY","")&amp;IF(D222=D223,"",")")&amp;IF(D222=D223," , ",";")</f>
        <v xml:space="preserve">process_id NUMBER(8)  NOT NULL PRIMARY KEY , </v>
      </c>
      <c r="AC222" s="6" t="str">
        <f t="shared" si="11"/>
        <v>COMMENT ON COLUMN activity.process_id IS '流程类型标识';</v>
      </c>
      <c r="AD222" s="6"/>
    </row>
    <row r="223" spans="1:31">
      <c r="A223" s="3">
        <v>197</v>
      </c>
      <c r="B223" s="7" t="s">
        <v>257</v>
      </c>
      <c r="C223" s="6"/>
      <c r="D223" s="7" t="s">
        <v>485</v>
      </c>
      <c r="E223" s="7" t="s">
        <v>178</v>
      </c>
      <c r="F223" s="7"/>
      <c r="G223" s="7" t="s">
        <v>487</v>
      </c>
      <c r="H223" s="7" t="s">
        <v>47</v>
      </c>
      <c r="I223" s="7" t="s">
        <v>48</v>
      </c>
      <c r="J223" s="9">
        <v>20</v>
      </c>
      <c r="K223" s="9">
        <v>60</v>
      </c>
      <c r="L223" s="7"/>
      <c r="M223" s="7"/>
      <c r="N223" s="7"/>
      <c r="O223" s="7"/>
      <c r="P223" s="7"/>
      <c r="Q223" s="7"/>
      <c r="R223" s="7"/>
      <c r="S223" s="6"/>
      <c r="T223" s="6"/>
      <c r="U223" s="6"/>
      <c r="V223" s="6"/>
      <c r="W223" s="6"/>
      <c r="X223" s="6"/>
      <c r="Y223" s="6"/>
      <c r="Z223" s="6"/>
      <c r="AA223" s="6"/>
      <c r="AB223" s="6" t="str">
        <f t="shared" si="12"/>
        <v xml:space="preserve">name VARCHAR2(60)  , </v>
      </c>
      <c r="AC223" s="6" t="str">
        <f t="shared" si="11"/>
        <v>COMMENT ON COLUMN activity.name IS '流程节点名称';</v>
      </c>
      <c r="AD223" s="6"/>
    </row>
    <row r="224" spans="1:31">
      <c r="A224" s="3">
        <v>198</v>
      </c>
      <c r="B224" s="7" t="s">
        <v>257</v>
      </c>
      <c r="C224" s="6"/>
      <c r="D224" s="7" t="s">
        <v>485</v>
      </c>
      <c r="E224" s="25" t="s">
        <v>241</v>
      </c>
      <c r="F224" s="7"/>
      <c r="G224" s="25" t="s">
        <v>488</v>
      </c>
      <c r="H224" s="7" t="s">
        <v>36</v>
      </c>
      <c r="I224" s="7" t="s">
        <v>128</v>
      </c>
      <c r="J224" s="25">
        <v>1</v>
      </c>
      <c r="K224" s="25">
        <v>1</v>
      </c>
      <c r="L224" s="7"/>
      <c r="M224" s="7"/>
      <c r="N224" s="7"/>
      <c r="O224" s="7"/>
      <c r="P224" s="7" t="s">
        <v>38</v>
      </c>
      <c r="Q224" s="7"/>
      <c r="R224" s="7"/>
      <c r="S224" s="6"/>
      <c r="T224" s="6"/>
      <c r="U224" s="6"/>
      <c r="V224" s="6"/>
      <c r="W224" s="6"/>
      <c r="X224" s="6"/>
      <c r="Y224" s="6"/>
      <c r="Z224" s="6"/>
      <c r="AA224" s="6"/>
      <c r="AB224" s="6" t="str">
        <f t="shared" si="12"/>
        <v xml:space="preserve">available NUMBER(1)  NOT NULL , </v>
      </c>
      <c r="AC224" s="6" t="str">
        <f t="shared" si="11"/>
        <v>COMMENT ON COLUMN activity.available IS '是否启用';</v>
      </c>
      <c r="AD224" s="6"/>
    </row>
    <row r="225" spans="1:31">
      <c r="A225" s="3">
        <v>199</v>
      </c>
      <c r="B225" s="7" t="s">
        <v>257</v>
      </c>
      <c r="C225" s="6"/>
      <c r="D225" s="7" t="s">
        <v>485</v>
      </c>
      <c r="E225" s="31" t="s">
        <v>489</v>
      </c>
      <c r="F225" s="7"/>
      <c r="G225" s="7" t="s">
        <v>490</v>
      </c>
      <c r="H225" s="7" t="s">
        <v>36</v>
      </c>
      <c r="I225" s="7" t="s">
        <v>128</v>
      </c>
      <c r="J225" s="7">
        <v>1</v>
      </c>
      <c r="K225" s="7">
        <v>1</v>
      </c>
      <c r="L225" s="7"/>
      <c r="M225" s="7"/>
      <c r="N225" s="7"/>
      <c r="O225" s="7"/>
      <c r="P225" s="7" t="s">
        <v>38</v>
      </c>
      <c r="Q225" s="7"/>
      <c r="R225" s="7"/>
      <c r="S225" s="6"/>
      <c r="T225" s="6"/>
      <c r="U225" s="6"/>
      <c r="V225" s="6"/>
      <c r="W225" s="6"/>
      <c r="X225" s="6"/>
      <c r="Y225" s="6"/>
      <c r="Z225" s="6"/>
      <c r="AA225" s="6"/>
      <c r="AB225" s="6" t="str">
        <f t="shared" si="12"/>
        <v xml:space="preserve">send_email NUMBER(1)  NOT NULL , </v>
      </c>
      <c r="AC225" s="6" t="str">
        <f t="shared" si="11"/>
        <v>COMMENT ON COLUMN activity.send_email IS '是否发邮件';</v>
      </c>
      <c r="AD225" s="6"/>
    </row>
    <row r="226" spans="1:31">
      <c r="A226" s="3">
        <v>200</v>
      </c>
      <c r="B226" s="7" t="s">
        <v>257</v>
      </c>
      <c r="C226" s="6"/>
      <c r="D226" s="7" t="s">
        <v>485</v>
      </c>
      <c r="E226" s="7" t="s">
        <v>491</v>
      </c>
      <c r="F226" s="7"/>
      <c r="G226" s="7" t="s">
        <v>492</v>
      </c>
      <c r="H226" s="7" t="s">
        <v>36</v>
      </c>
      <c r="I226" s="7" t="s">
        <v>128</v>
      </c>
      <c r="J226" s="7">
        <v>1</v>
      </c>
      <c r="K226" s="7">
        <v>1</v>
      </c>
      <c r="L226" s="7"/>
      <c r="M226" s="7"/>
      <c r="N226" s="7"/>
      <c r="O226" s="7"/>
      <c r="P226" s="7" t="s">
        <v>38</v>
      </c>
      <c r="Q226" s="7"/>
      <c r="R226" s="7"/>
      <c r="S226" s="6"/>
      <c r="T226" s="6"/>
      <c r="U226" s="6"/>
      <c r="V226" s="6"/>
      <c r="W226" s="6"/>
      <c r="X226" s="6"/>
      <c r="Y226" s="6"/>
      <c r="Z226" s="6"/>
      <c r="AA226" s="6"/>
      <c r="AB226" s="6" t="str">
        <f t="shared" si="12"/>
        <v>send_sms NUMBER(1)  NOT NULL);</v>
      </c>
      <c r="AC226" s="6" t="str">
        <f t="shared" si="11"/>
        <v>COMMENT ON COLUMN activity.send_sms IS '是否发短信';</v>
      </c>
      <c r="AD226" s="6"/>
    </row>
    <row r="227" spans="1:31">
      <c r="A227" s="3">
        <v>201</v>
      </c>
      <c r="B227" s="3" t="s">
        <v>257</v>
      </c>
      <c r="C227" s="4" t="s">
        <v>493</v>
      </c>
      <c r="D227" s="4" t="s">
        <v>494</v>
      </c>
      <c r="E227" s="19" t="s">
        <v>495</v>
      </c>
      <c r="F227" s="19"/>
      <c r="G227" s="19" t="s">
        <v>496</v>
      </c>
      <c r="H227" s="3" t="s">
        <v>262</v>
      </c>
      <c r="I227" s="3" t="s">
        <v>65</v>
      </c>
      <c r="J227" s="3">
        <v>11</v>
      </c>
      <c r="K227" s="3">
        <v>11</v>
      </c>
      <c r="L227" s="4"/>
      <c r="M227" s="4"/>
      <c r="N227" s="3" t="s">
        <v>38</v>
      </c>
      <c r="O227" s="3"/>
      <c r="P227" s="3" t="s">
        <v>38</v>
      </c>
      <c r="Q227" s="4"/>
      <c r="R227" s="12"/>
      <c r="S227" s="4"/>
      <c r="T227" s="4"/>
      <c r="U227" s="4"/>
      <c r="V227" s="4"/>
      <c r="W227" s="4"/>
      <c r="X227" s="4"/>
      <c r="Y227" s="4"/>
      <c r="Z227" s="4"/>
      <c r="AA227" s="4"/>
      <c r="AB227" s="4" t="str">
        <f t="shared" si="12"/>
        <v xml:space="preserve">CREATE TABLE task (task_id NUMBER(11)  NOT NULL PRIMARY KEY , </v>
      </c>
      <c r="AC227" s="4" t="str">
        <f t="shared" si="11"/>
        <v>COMMENT ON COLUMN task.task_id IS '处理标识';</v>
      </c>
      <c r="AD227" s="4" t="str">
        <f>"CREATE SEQUENCE seq_"&amp;D227&amp;" MINVALUE 1 MAXVALUE 9999999999999999999 INCREMENT BY 1 START WITH 1 CACHE 20 NOORDER NOCYCLE ;"</f>
        <v>CREATE SEQUENCE seq_task MINVALUE 1 MAXVALUE 9999999999999999999 INCREMENT BY 1 START WITH 1 CACHE 20 NOORDER NOCYCLE ;</v>
      </c>
      <c r="AE227" s="5"/>
    </row>
    <row r="228" spans="1:31">
      <c r="A228" s="3">
        <v>202</v>
      </c>
      <c r="B228" s="7" t="s">
        <v>257</v>
      </c>
      <c r="C228" s="6"/>
      <c r="D228" s="6" t="s">
        <v>494</v>
      </c>
      <c r="E228" s="10" t="s">
        <v>449</v>
      </c>
      <c r="F228" s="10"/>
      <c r="G228" s="10" t="s">
        <v>374</v>
      </c>
      <c r="H228" s="7" t="s">
        <v>36</v>
      </c>
      <c r="I228" s="7" t="s">
        <v>65</v>
      </c>
      <c r="J228" s="7">
        <v>11</v>
      </c>
      <c r="K228" s="7">
        <v>11</v>
      </c>
      <c r="L228" s="6"/>
      <c r="M228" s="6"/>
      <c r="N228" s="6" t="s">
        <v>38</v>
      </c>
      <c r="O228" s="6"/>
      <c r="P228" s="6" t="s">
        <v>378</v>
      </c>
      <c r="Q228" s="6"/>
      <c r="R228" s="11"/>
      <c r="S228" s="6"/>
      <c r="T228" s="6"/>
      <c r="U228" s="6"/>
      <c r="V228" s="6"/>
      <c r="W228" s="6"/>
      <c r="X228" s="6"/>
      <c r="Y228" s="6"/>
      <c r="Z228" s="6"/>
      <c r="AA228" s="6"/>
      <c r="AB228" s="6" t="str">
        <f t="shared" si="12"/>
        <v xml:space="preserve">consultation_id NUMBER(11)  NOT NULL PRIMARY KEY , </v>
      </c>
      <c r="AC228" s="6" t="str">
        <f t="shared" si="11"/>
        <v>COMMENT ON COLUMN task.consultation_id IS '会诊单标识';</v>
      </c>
      <c r="AD228" s="6"/>
    </row>
    <row r="229" spans="1:31">
      <c r="A229" s="3">
        <v>203</v>
      </c>
      <c r="B229" s="7" t="s">
        <v>257</v>
      </c>
      <c r="C229" s="6"/>
      <c r="D229" s="6" t="s">
        <v>494</v>
      </c>
      <c r="E229" s="10" t="s">
        <v>497</v>
      </c>
      <c r="F229" s="10"/>
      <c r="G229" s="10" t="s">
        <v>498</v>
      </c>
      <c r="H229" s="7" t="s">
        <v>336</v>
      </c>
      <c r="I229" s="7" t="s">
        <v>499</v>
      </c>
      <c r="J229" s="7">
        <v>30</v>
      </c>
      <c r="K229" s="7">
        <v>60</v>
      </c>
      <c r="L229" s="6"/>
      <c r="M229" s="6"/>
      <c r="N229" s="6"/>
      <c r="O229" s="6"/>
      <c r="P229" s="6" t="s">
        <v>38</v>
      </c>
      <c r="Q229" s="6"/>
      <c r="R229" s="11"/>
      <c r="S229" s="6"/>
      <c r="T229" s="6"/>
      <c r="U229" s="6"/>
      <c r="V229" s="6"/>
      <c r="W229" s="6"/>
      <c r="X229" s="6"/>
      <c r="Y229" s="6"/>
      <c r="Z229" s="6"/>
      <c r="AA229" s="6"/>
      <c r="AB229" s="6" t="str">
        <f t="shared" si="12"/>
        <v xml:space="preserve">TASK_NAME VARCHAR2(60)  NOT NULL , </v>
      </c>
      <c r="AC229" s="6" t="str">
        <f t="shared" si="11"/>
        <v>COMMENT ON COLUMN task.TASK_NAME IS '处理名';</v>
      </c>
      <c r="AD229" s="6"/>
    </row>
    <row r="230" spans="1:31">
      <c r="A230" s="3">
        <v>205</v>
      </c>
      <c r="B230" s="7" t="s">
        <v>257</v>
      </c>
      <c r="C230" s="6"/>
      <c r="D230" s="6" t="s">
        <v>494</v>
      </c>
      <c r="E230" s="10" t="s">
        <v>500</v>
      </c>
      <c r="F230" s="10"/>
      <c r="G230" s="10" t="s">
        <v>501</v>
      </c>
      <c r="H230" s="7" t="s">
        <v>336</v>
      </c>
      <c r="I230" s="7" t="s">
        <v>499</v>
      </c>
      <c r="J230" s="9">
        <v>150</v>
      </c>
      <c r="K230" s="9">
        <v>300</v>
      </c>
      <c r="L230" s="6"/>
      <c r="M230" s="6"/>
      <c r="N230" s="6"/>
      <c r="O230" s="6"/>
      <c r="P230" s="6"/>
      <c r="Q230" s="6"/>
      <c r="R230" s="11"/>
      <c r="S230" s="6"/>
      <c r="T230" s="6"/>
      <c r="U230" s="6"/>
      <c r="V230" s="6"/>
      <c r="W230" s="6"/>
      <c r="X230" s="6"/>
      <c r="Y230" s="6"/>
      <c r="Z230" s="6"/>
      <c r="AA230" s="6"/>
      <c r="AB230" s="6" t="str">
        <f t="shared" si="12"/>
        <v xml:space="preserve">APPROVAL_REASON VARCHAR2(300)  , </v>
      </c>
      <c r="AC230" s="6" t="str">
        <f t="shared" si="11"/>
        <v>COMMENT ON COLUMN task.APPROVAL_REASON IS '审批意见';</v>
      </c>
      <c r="AD230" s="6"/>
    </row>
    <row r="231" spans="1:31">
      <c r="A231" s="3">
        <v>206</v>
      </c>
      <c r="B231" s="7" t="s">
        <v>257</v>
      </c>
      <c r="C231" s="6"/>
      <c r="D231" s="6" t="s">
        <v>494</v>
      </c>
      <c r="E231" s="10" t="s">
        <v>457</v>
      </c>
      <c r="F231" s="10"/>
      <c r="G231" s="10" t="s">
        <v>458</v>
      </c>
      <c r="H231" s="7" t="s">
        <v>47</v>
      </c>
      <c r="I231" s="7" t="s">
        <v>48</v>
      </c>
      <c r="J231" s="9">
        <v>20</v>
      </c>
      <c r="K231" s="9">
        <v>60</v>
      </c>
      <c r="L231" s="6"/>
      <c r="M231" s="6"/>
      <c r="N231" s="6"/>
      <c r="O231" s="6"/>
      <c r="P231" s="6"/>
      <c r="Q231" s="6"/>
      <c r="R231" s="11"/>
      <c r="S231" s="6"/>
      <c r="T231" s="6"/>
      <c r="U231" s="6"/>
      <c r="V231" s="6"/>
      <c r="W231" s="6"/>
      <c r="X231" s="6"/>
      <c r="Y231" s="6"/>
      <c r="Z231" s="6"/>
      <c r="AA231" s="6"/>
      <c r="AB231" s="6" t="str">
        <f t="shared" si="12"/>
        <v xml:space="preserve">clinic_name VARCHAR2(60)  , </v>
      </c>
      <c r="AC231" s="6" t="str">
        <f t="shared" si="11"/>
        <v>COMMENT ON COLUMN task.clinic_name IS '科室名称';</v>
      </c>
      <c r="AD231" s="6"/>
    </row>
    <row r="232" spans="1:31">
      <c r="A232" s="3">
        <v>207</v>
      </c>
      <c r="B232" s="7" t="s">
        <v>257</v>
      </c>
      <c r="C232" s="6"/>
      <c r="D232" s="6" t="s">
        <v>494</v>
      </c>
      <c r="E232" s="10" t="s">
        <v>459</v>
      </c>
      <c r="F232" s="10"/>
      <c r="G232" s="10" t="s">
        <v>460</v>
      </c>
      <c r="H232" s="10" t="s">
        <v>47</v>
      </c>
      <c r="I232" s="7" t="s">
        <v>48</v>
      </c>
      <c r="J232" s="7">
        <v>10</v>
      </c>
      <c r="K232" s="9">
        <v>30</v>
      </c>
      <c r="L232" s="6"/>
      <c r="M232" s="6"/>
      <c r="N232" s="6"/>
      <c r="O232" s="6"/>
      <c r="P232" s="6"/>
      <c r="Q232" s="6"/>
      <c r="R232" s="11"/>
      <c r="S232" s="6"/>
      <c r="T232" s="6"/>
      <c r="U232" s="6"/>
      <c r="V232" s="6"/>
      <c r="W232" s="6"/>
      <c r="X232" s="6"/>
      <c r="Y232" s="6"/>
      <c r="Z232" s="6"/>
      <c r="AA232" s="6"/>
      <c r="AB232" s="6" t="str">
        <f>IF(D231=D232,"","CREATE TABLE "&amp;D232&amp;" (")&amp;E232&amp;" "&amp;H232&amp;IF(K232&lt;&gt;"","("&amp;K232&amp;") ","")&amp;IF(P232="Y"," NOT NULL","")&amp;IF(N232="Y"," PRIMARY KEY","")&amp;IF(D232=D234,"",")")&amp;IF(D232=D234," , ",";")</f>
        <v xml:space="preserve">doctor_name VARCHAR2(30)  , </v>
      </c>
      <c r="AC232" s="6" t="str">
        <f t="shared" si="11"/>
        <v>COMMENT ON COLUMN task.doctor_name IS '姓名';</v>
      </c>
      <c r="AD232" s="6"/>
    </row>
    <row r="233" spans="1:31">
      <c r="A233" s="3">
        <v>208</v>
      </c>
      <c r="B233" s="7" t="s">
        <v>257</v>
      </c>
      <c r="C233" s="6"/>
      <c r="D233" s="6" t="s">
        <v>494</v>
      </c>
      <c r="E233" s="7" t="s">
        <v>290</v>
      </c>
      <c r="F233" s="7"/>
      <c r="G233" s="10" t="s">
        <v>291</v>
      </c>
      <c r="H233" s="7" t="s">
        <v>47</v>
      </c>
      <c r="I233" s="7" t="s">
        <v>48</v>
      </c>
      <c r="J233" s="7">
        <v>20</v>
      </c>
      <c r="K233" s="7">
        <v>20</v>
      </c>
      <c r="L233" s="7"/>
      <c r="M233" s="7"/>
      <c r="N233" s="7"/>
      <c r="O233" s="7"/>
      <c r="P233" s="7" t="s">
        <v>38</v>
      </c>
      <c r="Q233" s="7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 t="str">
        <f t="shared" ref="AB233" si="13">IF(D232=D233,"","CREATE TABLE "&amp;D233&amp;" (")&amp;E233&amp;" "&amp;H233&amp;IF(K233&lt;&gt;"","("&amp;K233&amp;") ","")&amp;IF(P233="Y"," NOT NULL","")&amp;IF(N233="Y"," PRIMARY KEY","")&amp;IF(D233=D235,"",")")&amp;IF(D233=D235," , ",";")</f>
        <v xml:space="preserve">employee_num VARCHAR2(20)  NOT NULL , </v>
      </c>
      <c r="AC233" s="6" t="str">
        <f t="shared" si="11"/>
        <v>COMMENT ON COLUMN task.employee_num IS '工号';</v>
      </c>
      <c r="AD233" s="6"/>
    </row>
    <row r="234" spans="1:31">
      <c r="A234" s="3">
        <v>209</v>
      </c>
      <c r="B234" s="7" t="s">
        <v>257</v>
      </c>
      <c r="C234" s="6"/>
      <c r="D234" s="6" t="s">
        <v>494</v>
      </c>
      <c r="E234" s="10" t="s">
        <v>307</v>
      </c>
      <c r="F234" s="10"/>
      <c r="G234" s="10" t="s">
        <v>502</v>
      </c>
      <c r="H234" s="10" t="s">
        <v>503</v>
      </c>
      <c r="I234" s="7" t="s">
        <v>187</v>
      </c>
      <c r="J234" s="14"/>
      <c r="K234" s="14"/>
      <c r="L234" s="6"/>
      <c r="M234" s="6"/>
      <c r="N234" s="6"/>
      <c r="O234" s="6"/>
      <c r="P234" s="6"/>
      <c r="Q234" s="6"/>
      <c r="R234" s="11"/>
      <c r="S234" s="6"/>
      <c r="T234" s="6"/>
      <c r="U234" s="6"/>
      <c r="V234" s="6"/>
      <c r="W234" s="6"/>
      <c r="X234" s="6"/>
      <c r="Y234" s="6"/>
      <c r="Z234" s="6"/>
      <c r="AA234" s="6"/>
      <c r="AB234" s="6" t="str">
        <f>IF(D232=D234,"","CREATE TABLE "&amp;D234&amp;" (")&amp;E234&amp;" "&amp;H234&amp;IF(K234&lt;&gt;"","("&amp;K234&amp;") ","")&amp;IF(P234="Y"," NOT NULL","")&amp;IF(N234="Y"," PRIMARY KEY","")&amp;IF(D234=D235,"",")")&amp;IF(D234=D235," , ",";")</f>
        <v xml:space="preserve">create_time DATE , </v>
      </c>
      <c r="AC234" s="6" t="str">
        <f t="shared" si="11"/>
        <v>COMMENT ON COLUMN task.create_time IS '创建时间';</v>
      </c>
      <c r="AD234" s="6"/>
    </row>
    <row r="235" spans="1:31">
      <c r="A235" s="3">
        <v>210</v>
      </c>
      <c r="B235" s="7" t="s">
        <v>257</v>
      </c>
      <c r="C235" s="6"/>
      <c r="D235" s="6" t="s">
        <v>494</v>
      </c>
      <c r="E235" s="10" t="s">
        <v>305</v>
      </c>
      <c r="F235" s="10"/>
      <c r="G235" s="10" t="s">
        <v>306</v>
      </c>
      <c r="H235" s="10" t="s">
        <v>36</v>
      </c>
      <c r="I235" s="10" t="s">
        <v>177</v>
      </c>
      <c r="J235" s="9">
        <v>11</v>
      </c>
      <c r="K235" s="9">
        <v>11</v>
      </c>
      <c r="L235" s="6"/>
      <c r="M235" s="6"/>
      <c r="N235" s="6"/>
      <c r="O235" s="6"/>
      <c r="P235" s="6"/>
      <c r="Q235" s="6"/>
      <c r="R235" s="11"/>
      <c r="S235" s="6"/>
      <c r="T235" s="6"/>
      <c r="U235" s="6"/>
      <c r="V235" s="6"/>
      <c r="W235" s="6"/>
      <c r="X235" s="6"/>
      <c r="Y235" s="6"/>
      <c r="Z235" s="6"/>
      <c r="AA235" s="6"/>
      <c r="AB235" s="6" t="e">
        <f>IF(D234=D235,"","CREATE TABLE "&amp;D235&amp;" (")&amp;E235&amp;" "&amp;H235&amp;IF(K235&lt;&gt;"","("&amp;K235&amp;") ","")&amp;IF(P235="Y"," NOT NULL","")&amp;IF(N235="Y"," PRIMARY KEY","")&amp;IF(D235=#REF!,"",")")&amp;IF(D235=#REF!," , ",";")</f>
        <v>#REF!</v>
      </c>
      <c r="AC235" s="6" t="str">
        <f t="shared" si="11"/>
        <v>COMMENT ON COLUMN task.creator IS '创建者标识';</v>
      </c>
      <c r="AD235" s="6"/>
    </row>
    <row r="236" spans="1:31">
      <c r="A236" s="3">
        <v>211</v>
      </c>
      <c r="B236" s="3" t="s">
        <v>257</v>
      </c>
      <c r="C236" s="4" t="s">
        <v>504</v>
      </c>
      <c r="D236" s="4" t="s">
        <v>505</v>
      </c>
      <c r="E236" s="19" t="s">
        <v>449</v>
      </c>
      <c r="F236" s="19"/>
      <c r="G236" s="19" t="s">
        <v>374</v>
      </c>
      <c r="H236" s="3" t="s">
        <v>36</v>
      </c>
      <c r="I236" s="3" t="s">
        <v>65</v>
      </c>
      <c r="J236" s="3">
        <v>11</v>
      </c>
      <c r="K236" s="3">
        <v>11</v>
      </c>
      <c r="L236" s="4"/>
      <c r="M236" s="4"/>
      <c r="N236" s="3" t="s">
        <v>38</v>
      </c>
      <c r="O236" s="3"/>
      <c r="P236" s="3" t="s">
        <v>38</v>
      </c>
      <c r="Q236" s="4"/>
      <c r="R236" s="12"/>
      <c r="S236" s="4"/>
      <c r="T236" s="4"/>
      <c r="U236" s="4"/>
      <c r="V236" s="4"/>
      <c r="W236" s="4"/>
      <c r="X236" s="4"/>
      <c r="Y236" s="4"/>
      <c r="Z236" s="4"/>
      <c r="AA236" s="4"/>
      <c r="AB236" s="4" t="str">
        <f t="shared" si="12"/>
        <v xml:space="preserve">CREATE TABLE consultation_clinic (consultation_id NUMBER(11)  NOT NULL PRIMARY KEY , </v>
      </c>
      <c r="AC236" s="4" t="str">
        <f t="shared" si="11"/>
        <v>COMMENT ON COLUMN consultation_clinic.consultation_id IS '会诊单标识';</v>
      </c>
      <c r="AD236" s="4" t="str">
        <f>"CREATE SEQUENCE seq_"&amp;D236&amp;" MINVALUE 1 MAXVALUE 9999999999999999999 INCREMENT BY 1 START WITH 1 CACHE 20 NOORDER NOCYCLE ;"</f>
        <v>CREATE SEQUENCE seq_consultation_clinic MINVALUE 1 MAXVALUE 9999999999999999999 INCREMENT BY 1 START WITH 1 CACHE 20 NOORDER NOCYCLE ;</v>
      </c>
      <c r="AE236" s="5"/>
    </row>
    <row r="237" spans="1:31">
      <c r="A237" s="3">
        <v>212</v>
      </c>
      <c r="B237" s="7" t="s">
        <v>257</v>
      </c>
      <c r="C237" s="6"/>
      <c r="D237" s="6" t="s">
        <v>506</v>
      </c>
      <c r="E237" s="10" t="s">
        <v>507</v>
      </c>
      <c r="F237" s="10"/>
      <c r="G237" s="10" t="s">
        <v>508</v>
      </c>
      <c r="H237" s="7" t="s">
        <v>36</v>
      </c>
      <c r="I237" s="7" t="s">
        <v>128</v>
      </c>
      <c r="J237" s="7">
        <v>8</v>
      </c>
      <c r="K237" s="7">
        <v>8</v>
      </c>
      <c r="L237" s="6"/>
      <c r="M237" s="6"/>
      <c r="N237" s="6" t="s">
        <v>38</v>
      </c>
      <c r="O237" s="6"/>
      <c r="P237" s="6" t="s">
        <v>38</v>
      </c>
      <c r="Q237" s="6"/>
      <c r="R237" s="11"/>
      <c r="S237" s="6"/>
      <c r="T237" s="6"/>
      <c r="U237" s="6"/>
      <c r="V237" s="6"/>
      <c r="W237" s="6"/>
      <c r="X237" s="6"/>
      <c r="Y237" s="6"/>
      <c r="Z237" s="6"/>
      <c r="AA237" s="6"/>
      <c r="AB237" s="6" t="str">
        <f>IF(D236=D237,"","CREATE TABLE "&amp;D237&amp;" (")&amp;E237&amp;" "&amp;H237&amp;IF(K237&lt;&gt;"","("&amp;K237&amp;") ","")&amp;IF(P237="Y"," NOT NULL","")&amp;IF(N237="Y"," PRIMARY KEY","")&amp;IF(D237=D239,"",")")&amp;IF(D237=D239," , ",";")</f>
        <v xml:space="preserve">clinic_id NUMBER(8)  NOT NULL PRIMARY KEY , </v>
      </c>
      <c r="AC237" s="6" t="str">
        <f t="shared" si="11"/>
        <v>COMMENT ON COLUMN consultation_clinic.clinic_id IS '会诊科室标识';</v>
      </c>
      <c r="AD237" s="6"/>
    </row>
    <row r="238" spans="1:31">
      <c r="A238" s="3">
        <v>213</v>
      </c>
      <c r="B238" s="7" t="s">
        <v>257</v>
      </c>
      <c r="C238" s="6"/>
      <c r="D238" s="6" t="s">
        <v>509</v>
      </c>
      <c r="E238" s="10" t="s">
        <v>337</v>
      </c>
      <c r="F238" s="10"/>
      <c r="G238" s="7" t="s">
        <v>510</v>
      </c>
      <c r="H238" s="7" t="s">
        <v>47</v>
      </c>
      <c r="I238" s="7" t="s">
        <v>48</v>
      </c>
      <c r="J238" s="9">
        <v>20</v>
      </c>
      <c r="K238" s="9">
        <v>60</v>
      </c>
      <c r="L238" s="7"/>
      <c r="M238" s="7"/>
      <c r="N238" s="7"/>
      <c r="O238" s="7"/>
      <c r="P238" s="7" t="s">
        <v>38</v>
      </c>
      <c r="Q238" s="7"/>
      <c r="R238" s="7"/>
      <c r="S238" s="6"/>
      <c r="T238" s="6"/>
      <c r="U238" s="6"/>
      <c r="V238" s="6"/>
      <c r="W238" s="6"/>
      <c r="X238" s="6"/>
      <c r="Y238" s="6"/>
      <c r="Z238" s="6"/>
      <c r="AA238" s="6"/>
      <c r="AB238" s="6" t="str">
        <f t="shared" ref="AB238:AB239" si="14">IF(D236=D238,"","CREATE TABLE "&amp;D238&amp;" (")&amp;E238&amp;" "&amp;H238&amp;IF(K238&lt;&gt;"","("&amp;K238&amp;") ","")&amp;IF(P238="Y"," NOT NULL","")&amp;IF(N238="Y"," PRIMARY KEY","")&amp;IF(D238=D239,"",")")&amp;IF(D238=D239," , ",";")</f>
        <v>CREATE TABLE consultation_doctor (clinic_name VARCHAR2(60)  NOT NULL);</v>
      </c>
      <c r="AC238" s="6" t="str">
        <f>"COMMENT ON COLUMN "&amp;D238&amp;"."&amp;E238&amp;" IS '"&amp;G238&amp;"';"</f>
        <v>COMMENT ON COLUMN consultation_doctor.clinic_name IS '会诊科室名称';</v>
      </c>
      <c r="AD238" s="6"/>
    </row>
    <row r="239" spans="1:31">
      <c r="A239" s="3">
        <v>214</v>
      </c>
      <c r="B239" s="7" t="s">
        <v>257</v>
      </c>
      <c r="C239" s="6"/>
      <c r="D239" s="6" t="s">
        <v>506</v>
      </c>
      <c r="E239" s="10" t="s">
        <v>265</v>
      </c>
      <c r="F239" s="10"/>
      <c r="G239" s="10" t="s">
        <v>266</v>
      </c>
      <c r="H239" s="7" t="s">
        <v>36</v>
      </c>
      <c r="I239" s="7" t="s">
        <v>128</v>
      </c>
      <c r="J239" s="9">
        <v>1</v>
      </c>
      <c r="K239" s="9">
        <v>1</v>
      </c>
      <c r="L239" s="6"/>
      <c r="M239" s="6"/>
      <c r="N239" s="6"/>
      <c r="O239" s="6"/>
      <c r="P239" s="7" t="s">
        <v>38</v>
      </c>
      <c r="Q239" s="6"/>
      <c r="R239" s="11"/>
      <c r="S239" s="6"/>
      <c r="T239" s="6"/>
      <c r="U239" s="6"/>
      <c r="V239" s="6"/>
      <c r="W239" s="6"/>
      <c r="X239" s="6"/>
      <c r="Y239" s="6"/>
      <c r="Z239" s="6"/>
      <c r="AA239" s="6"/>
      <c r="AB239" s="6" t="str">
        <f t="shared" si="14"/>
        <v>is_outside_hospital NUMBER(1)  NOT NULL);</v>
      </c>
      <c r="AC239" s="6" t="str">
        <f t="shared" si="11"/>
        <v>COMMENT ON COLUMN consultation_clinic.is_outside_hospital IS '是否外院';</v>
      </c>
      <c r="AD239" s="6"/>
    </row>
    <row r="240" spans="1:31">
      <c r="A240" s="3">
        <v>215</v>
      </c>
      <c r="B240" s="7" t="s">
        <v>257</v>
      </c>
      <c r="C240" s="6"/>
      <c r="D240" s="6" t="s">
        <v>509</v>
      </c>
      <c r="E240" s="10" t="s">
        <v>260</v>
      </c>
      <c r="F240" s="10"/>
      <c r="G240" s="10" t="s">
        <v>261</v>
      </c>
      <c r="H240" s="7" t="s">
        <v>262</v>
      </c>
      <c r="I240" s="7" t="s">
        <v>128</v>
      </c>
      <c r="J240" s="7">
        <v>8</v>
      </c>
      <c r="K240" s="7">
        <v>8</v>
      </c>
      <c r="L240" s="6"/>
      <c r="M240" s="6"/>
      <c r="N240" s="6"/>
      <c r="O240" s="6"/>
      <c r="P240" s="6"/>
      <c r="Q240" s="6"/>
      <c r="R240" s="11"/>
      <c r="S240" s="6"/>
      <c r="T240" s="6"/>
      <c r="U240" s="6"/>
      <c r="V240" s="6"/>
      <c r="W240" s="6"/>
      <c r="X240" s="6"/>
      <c r="Y240" s="6"/>
      <c r="Z240" s="6"/>
      <c r="AA240" s="6"/>
      <c r="AB240" s="6" t="str">
        <f>IF(D238=D240,"","CREATE TABLE "&amp;D240&amp;" (")&amp;E240&amp;" "&amp;H240&amp;IF(K240&lt;&gt;"","("&amp;K240&amp;") ","")&amp;IF(P240="Y"," NOT NULL","")&amp;IF(N240="Y"," PRIMARY KEY","")&amp;IF(D240=D241,"",")")&amp;IF(D240=D241," , ",";")</f>
        <v xml:space="preserve">hospital_id NUMBER(8)  , </v>
      </c>
      <c r="AC240" s="6" t="str">
        <f>"COMMENT ON COLUMN "&amp;D240&amp;"."&amp;E240&amp;" IS '"&amp;G240&amp;"';"</f>
        <v>COMMENT ON COLUMN consultation_doctor.hospital_id IS '医院标识';</v>
      </c>
      <c r="AD240" s="6" t="str">
        <f>"CREATE SEQUENCE seq_"&amp;D240&amp;" MINVALUE 1 MAXVALUE 9999999999999999999 INCREMENT BY 1 START WITH 1 CACHE 20 NOORDER NOCYCLE ;"</f>
        <v>CREATE SEQUENCE seq_consultation_doctor MINVALUE 1 MAXVALUE 9999999999999999999 INCREMENT BY 1 START WITH 1 CACHE 20 NOORDER NOCYCLE ;</v>
      </c>
    </row>
    <row r="241" spans="1:31">
      <c r="A241" s="3">
        <v>216</v>
      </c>
      <c r="B241" s="7" t="s">
        <v>257</v>
      </c>
      <c r="C241" s="6"/>
      <c r="D241" s="6" t="s">
        <v>509</v>
      </c>
      <c r="E241" s="7" t="s">
        <v>334</v>
      </c>
      <c r="F241" s="7"/>
      <c r="G241" s="7" t="s">
        <v>263</v>
      </c>
      <c r="H241" s="7" t="s">
        <v>47</v>
      </c>
      <c r="I241" s="7" t="s">
        <v>48</v>
      </c>
      <c r="J241" s="9">
        <v>20</v>
      </c>
      <c r="K241" s="9">
        <v>60</v>
      </c>
      <c r="L241" s="7"/>
      <c r="M241" s="7"/>
      <c r="N241" s="7"/>
      <c r="O241" s="7"/>
      <c r="P241" s="7"/>
      <c r="Q241" s="7"/>
      <c r="R241" s="7"/>
      <c r="S241" s="6"/>
      <c r="T241" s="6"/>
      <c r="U241" s="6"/>
      <c r="V241" s="6"/>
      <c r="W241" s="6"/>
      <c r="X241" s="6"/>
      <c r="Y241" s="6"/>
      <c r="Z241" s="6"/>
      <c r="AA241" s="6"/>
      <c r="AB241" s="6" t="str">
        <f>IF(D240=D241,"","CREATE TABLE "&amp;D241&amp;" (")&amp;E241&amp;" "&amp;H241&amp;IF(K241&lt;&gt;"","("&amp;K241&amp;") ","")&amp;IF(P241="Y"," NOT NULL","")&amp;IF(N241="Y"," PRIMARY KEY","")&amp;IF(D241=D244,"",")")&amp;IF(D241=D244," , ",";")</f>
        <v xml:space="preserve">hospital_name VARCHAR2(60)  , </v>
      </c>
      <c r="AC241" s="6" t="str">
        <f>"COMMENT ON COLUMN "&amp;D241&amp;"."&amp;E241&amp;" IS '"&amp;G241&amp;"';"</f>
        <v>COMMENT ON COLUMN consultation_doctor.hospital_name IS '医院名称';</v>
      </c>
      <c r="AD241" s="6"/>
    </row>
    <row r="242" spans="1:31">
      <c r="A242" s="3">
        <v>217</v>
      </c>
      <c r="B242" s="3" t="s">
        <v>257</v>
      </c>
      <c r="C242" s="4" t="s">
        <v>511</v>
      </c>
      <c r="D242" s="4" t="s">
        <v>512</v>
      </c>
      <c r="E242" s="19" t="s">
        <v>449</v>
      </c>
      <c r="F242" s="19"/>
      <c r="G242" s="19" t="s">
        <v>374</v>
      </c>
      <c r="H242" s="3" t="s">
        <v>36</v>
      </c>
      <c r="I242" s="3" t="s">
        <v>65</v>
      </c>
      <c r="J242" s="3">
        <v>11</v>
      </c>
      <c r="K242" s="3">
        <v>11</v>
      </c>
      <c r="L242" s="4"/>
      <c r="M242" s="4"/>
      <c r="N242" s="3" t="s">
        <v>38</v>
      </c>
      <c r="O242" s="3"/>
      <c r="P242" s="3" t="s">
        <v>38</v>
      </c>
      <c r="Q242" s="4"/>
      <c r="R242" s="12"/>
      <c r="S242" s="4"/>
      <c r="T242" s="4"/>
      <c r="U242" s="4"/>
      <c r="V242" s="4"/>
      <c r="W242" s="4"/>
      <c r="X242" s="4"/>
      <c r="Y242" s="4"/>
      <c r="Z242" s="4"/>
      <c r="AA242" s="4"/>
      <c r="AB242" s="4" t="str">
        <f t="shared" si="12"/>
        <v xml:space="preserve">consultation_id NUMBER(11)  NOT NULL PRIMARY KEY , </v>
      </c>
      <c r="AC242" s="4" t="str">
        <f t="shared" si="11"/>
        <v>COMMENT ON COLUMN consultation_doctor.consultation_id IS '会诊单标识';</v>
      </c>
      <c r="AD242" s="4" t="str">
        <f>"CREATE SEQUENCE seq_"&amp;D242&amp;" MINVALUE 1 MAXVALUE 9999999999999999999 INCREMENT BY 1 START WITH 1 CACHE 20 NOORDER NOCYCLE ;"</f>
        <v>CREATE SEQUENCE seq_consultation_doctor MINVALUE 1 MAXVALUE 9999999999999999999 INCREMENT BY 1 START WITH 1 CACHE 20 NOORDER NOCYCLE ;</v>
      </c>
      <c r="AE242" s="5"/>
    </row>
    <row r="243" spans="1:31">
      <c r="A243" s="3">
        <v>218</v>
      </c>
      <c r="B243" s="7" t="s">
        <v>257</v>
      </c>
      <c r="C243" s="6"/>
      <c r="D243" s="6" t="s">
        <v>509</v>
      </c>
      <c r="E243" s="10" t="s">
        <v>507</v>
      </c>
      <c r="F243" s="10"/>
      <c r="G243" s="10" t="s">
        <v>508</v>
      </c>
      <c r="H243" s="7" t="s">
        <v>36</v>
      </c>
      <c r="I243" s="7" t="s">
        <v>128</v>
      </c>
      <c r="J243" s="7">
        <v>8</v>
      </c>
      <c r="K243" s="7">
        <v>8</v>
      </c>
      <c r="L243" s="6"/>
      <c r="M243" s="6"/>
      <c r="N243" s="6" t="s">
        <v>38</v>
      </c>
      <c r="O243" s="6"/>
      <c r="P243" s="6" t="s">
        <v>38</v>
      </c>
      <c r="Q243" s="6"/>
      <c r="R243" s="11"/>
      <c r="S243" s="6"/>
      <c r="T243" s="6"/>
      <c r="U243" s="6"/>
      <c r="V243" s="6"/>
      <c r="W243" s="6"/>
      <c r="X243" s="6"/>
      <c r="Y243" s="6"/>
      <c r="Z243" s="6"/>
      <c r="AA243" s="6"/>
      <c r="AB243" s="6" t="str">
        <f>IF(D242=D243,"","CREATE TABLE "&amp;D243&amp;" (")&amp;E243&amp;" "&amp;H243&amp;IF(K243&lt;&gt;"","("&amp;K243&amp;") ","")&amp;IF(P243="Y"," NOT NULL","")&amp;IF(N243="Y"," PRIMARY KEY","")&amp;IF(D243=D244,"",")")&amp;IF(D243=D244," , ",";")</f>
        <v xml:space="preserve">clinic_id NUMBER(8)  NOT NULL PRIMARY KEY , </v>
      </c>
      <c r="AC243" s="6" t="str">
        <f t="shared" si="11"/>
        <v>COMMENT ON COLUMN consultation_doctor.clinic_id IS '会诊科室标识';</v>
      </c>
      <c r="AD243" s="6"/>
    </row>
    <row r="244" spans="1:31">
      <c r="A244" s="3">
        <v>219</v>
      </c>
      <c r="B244" s="7" t="s">
        <v>257</v>
      </c>
      <c r="C244" s="6"/>
      <c r="D244" s="6" t="s">
        <v>509</v>
      </c>
      <c r="E244" s="10" t="s">
        <v>455</v>
      </c>
      <c r="F244" s="10"/>
      <c r="G244" s="10" t="s">
        <v>456</v>
      </c>
      <c r="H244" s="7" t="s">
        <v>36</v>
      </c>
      <c r="I244" s="7" t="s">
        <v>65</v>
      </c>
      <c r="J244" s="7">
        <v>11</v>
      </c>
      <c r="K244" s="7">
        <v>11</v>
      </c>
      <c r="L244" s="6"/>
      <c r="M244" s="6"/>
      <c r="N244" s="6"/>
      <c r="O244" s="6"/>
      <c r="P244" s="6" t="s">
        <v>513</v>
      </c>
      <c r="Q244" s="6"/>
      <c r="R244" s="11"/>
      <c r="S244" s="6"/>
      <c r="T244" s="6"/>
      <c r="U244" s="6"/>
      <c r="V244" s="6"/>
      <c r="W244" s="6"/>
      <c r="X244" s="6"/>
      <c r="Y244" s="6"/>
      <c r="Z244" s="6"/>
      <c r="AA244" s="6"/>
      <c r="AB244" s="6" t="str">
        <f t="shared" ref="AB244:AB251" si="15">IF(D243=D244,"","CREATE TABLE "&amp;D244&amp;" (")&amp;E244&amp;" "&amp;H244&amp;IF(K244&lt;&gt;"","("&amp;K244&amp;") ","")&amp;IF(P244="Y"," NOT NULL","")&amp;IF(N244="Y"," PRIMARY KEY","")&amp;IF(D244=D245,"",")")&amp;IF(D244=D245," , ",";")</f>
        <v xml:space="preserve">doctor_id NUMBER(11)  NOT NULL , </v>
      </c>
      <c r="AC244" s="6" t="str">
        <f t="shared" si="11"/>
        <v>COMMENT ON COLUMN consultation_doctor.doctor_id IS '会诊医生标识';</v>
      </c>
      <c r="AD244" s="6"/>
    </row>
    <row r="245" spans="1:31">
      <c r="A245" s="3">
        <v>220</v>
      </c>
      <c r="B245" s="7" t="s">
        <v>257</v>
      </c>
      <c r="C245" s="6"/>
      <c r="D245" s="6" t="s">
        <v>509</v>
      </c>
      <c r="E245" s="7" t="s">
        <v>514</v>
      </c>
      <c r="F245" s="7"/>
      <c r="G245" s="7" t="s">
        <v>515</v>
      </c>
      <c r="H245" s="7" t="s">
        <v>47</v>
      </c>
      <c r="I245" s="7" t="s">
        <v>48</v>
      </c>
      <c r="J245" s="7">
        <v>10</v>
      </c>
      <c r="K245" s="7">
        <v>30</v>
      </c>
      <c r="L245" s="7"/>
      <c r="M245" s="7"/>
      <c r="N245" s="7"/>
      <c r="O245" s="7"/>
      <c r="P245" s="7" t="s">
        <v>38</v>
      </c>
      <c r="Q245" s="7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 t="str">
        <f t="shared" si="15"/>
        <v xml:space="preserve">doctor_name VARCHAR2(30)  NOT NULL , </v>
      </c>
      <c r="AC245" s="6" t="str">
        <f t="shared" si="11"/>
        <v>COMMENT ON COLUMN consultation_doctor.doctor_name IS '会诊医生姓名';</v>
      </c>
      <c r="AD245" s="6"/>
    </row>
    <row r="246" spans="1:31">
      <c r="A246" s="3">
        <v>221</v>
      </c>
      <c r="B246" s="7" t="s">
        <v>257</v>
      </c>
      <c r="C246" s="6"/>
      <c r="D246" s="6" t="s">
        <v>509</v>
      </c>
      <c r="E246" s="7" t="s">
        <v>290</v>
      </c>
      <c r="F246" s="7"/>
      <c r="G246" s="10" t="s">
        <v>291</v>
      </c>
      <c r="H246" s="7" t="s">
        <v>47</v>
      </c>
      <c r="I246" s="7" t="s">
        <v>48</v>
      </c>
      <c r="J246" s="7">
        <v>20</v>
      </c>
      <c r="K246" s="7">
        <v>20</v>
      </c>
      <c r="L246" s="7"/>
      <c r="M246" s="7"/>
      <c r="N246" s="7"/>
      <c r="O246" s="7"/>
      <c r="P246" s="7" t="s">
        <v>38</v>
      </c>
      <c r="Q246" s="7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 t="str">
        <f t="shared" si="15"/>
        <v xml:space="preserve">employee_num VARCHAR2(20)  NOT NULL , </v>
      </c>
      <c r="AC246" s="6" t="str">
        <f t="shared" si="11"/>
        <v>COMMENT ON COLUMN consultation_doctor.employee_num IS '工号';</v>
      </c>
      <c r="AD246" s="6"/>
    </row>
    <row r="247" spans="1:31">
      <c r="A247" s="3">
        <v>222</v>
      </c>
      <c r="B247" s="7" t="s">
        <v>257</v>
      </c>
      <c r="C247" s="6"/>
      <c r="D247" s="6" t="s">
        <v>509</v>
      </c>
      <c r="E247" s="7" t="s">
        <v>299</v>
      </c>
      <c r="F247" s="7"/>
      <c r="G247" s="7" t="s">
        <v>300</v>
      </c>
      <c r="H247" s="7" t="s">
        <v>47</v>
      </c>
      <c r="I247" s="7" t="s">
        <v>48</v>
      </c>
      <c r="J247" s="7">
        <v>20</v>
      </c>
      <c r="K247" s="7">
        <v>60</v>
      </c>
      <c r="L247" s="7"/>
      <c r="M247" s="7"/>
      <c r="N247" s="7"/>
      <c r="O247" s="7"/>
      <c r="P247" s="7"/>
      <c r="Q247" s="7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 t="str">
        <f t="shared" si="15"/>
        <v xml:space="preserve">job_title VARCHAR2(60)  , </v>
      </c>
      <c r="AC247" s="6" t="str">
        <f t="shared" si="11"/>
        <v>COMMENT ON COLUMN consultation_doctor.job_title IS '职称';</v>
      </c>
      <c r="AD247" s="6"/>
    </row>
    <row r="248" spans="1:31">
      <c r="A248" s="3">
        <v>223</v>
      </c>
      <c r="B248" s="7" t="s">
        <v>257</v>
      </c>
      <c r="C248" s="6"/>
      <c r="D248" s="6" t="s">
        <v>509</v>
      </c>
      <c r="E248" s="10" t="s">
        <v>516</v>
      </c>
      <c r="F248" s="10"/>
      <c r="G248" s="10" t="s">
        <v>517</v>
      </c>
      <c r="H248" s="7" t="s">
        <v>36</v>
      </c>
      <c r="I248" s="7" t="s">
        <v>128</v>
      </c>
      <c r="J248" s="9">
        <v>1</v>
      </c>
      <c r="K248" s="9">
        <v>1</v>
      </c>
      <c r="L248" s="6"/>
      <c r="M248" s="6"/>
      <c r="N248" s="6"/>
      <c r="O248" s="6"/>
      <c r="P248" s="7" t="s">
        <v>38</v>
      </c>
      <c r="Q248" s="6"/>
      <c r="R248" s="11"/>
      <c r="S248" s="6"/>
      <c r="T248" s="6"/>
      <c r="U248" s="6"/>
      <c r="V248" s="6"/>
      <c r="W248" s="6"/>
      <c r="X248" s="6"/>
      <c r="Y248" s="6"/>
      <c r="Z248" s="6"/>
      <c r="AA248" s="6"/>
      <c r="AB248" s="6" t="str">
        <f t="shared" si="15"/>
        <v xml:space="preserve">sign_stuts NUMBER(1)  NOT NULL , </v>
      </c>
      <c r="AC248" s="6" t="str">
        <f t="shared" si="11"/>
        <v>COMMENT ON COLUMN consultation_doctor.sign_stuts IS '会诊医生签到状态';</v>
      </c>
      <c r="AD248" s="6"/>
    </row>
    <row r="249" spans="1:31">
      <c r="A249" s="3">
        <v>224</v>
      </c>
      <c r="B249" s="7" t="s">
        <v>257</v>
      </c>
      <c r="C249" s="6"/>
      <c r="D249" s="6" t="s">
        <v>509</v>
      </c>
      <c r="E249" s="10" t="s">
        <v>518</v>
      </c>
      <c r="F249" s="10"/>
      <c r="G249" s="10" t="s">
        <v>519</v>
      </c>
      <c r="H249" s="10" t="s">
        <v>309</v>
      </c>
      <c r="I249" s="7" t="s">
        <v>187</v>
      </c>
      <c r="J249" s="14"/>
      <c r="K249" s="14"/>
      <c r="L249" s="6"/>
      <c r="M249" s="6"/>
      <c r="N249" s="6"/>
      <c r="O249" s="6"/>
      <c r="P249" s="6"/>
      <c r="Q249" s="6"/>
      <c r="R249" s="11"/>
      <c r="S249" s="6"/>
      <c r="T249" s="6"/>
      <c r="U249" s="6"/>
      <c r="V249" s="6"/>
      <c r="W249" s="6"/>
      <c r="X249" s="6"/>
      <c r="Y249" s="6"/>
      <c r="Z249" s="6"/>
      <c r="AA249" s="6"/>
      <c r="AB249" s="6" t="str">
        <f t="shared" si="15"/>
        <v xml:space="preserve">sign_datetime DATE , </v>
      </c>
      <c r="AC249" s="6" t="str">
        <f t="shared" si="11"/>
        <v>COMMENT ON COLUMN consultation_doctor.sign_datetime IS '会诊医生签到时间';</v>
      </c>
      <c r="AD249" s="6"/>
    </row>
    <row r="250" spans="1:31">
      <c r="A250" s="3">
        <v>225</v>
      </c>
      <c r="B250" s="7" t="s">
        <v>257</v>
      </c>
      <c r="C250" s="6"/>
      <c r="D250" s="6" t="s">
        <v>509</v>
      </c>
      <c r="E250" s="10" t="s">
        <v>520</v>
      </c>
      <c r="F250" s="10"/>
      <c r="G250" s="10" t="s">
        <v>521</v>
      </c>
      <c r="H250" s="10" t="s">
        <v>309</v>
      </c>
      <c r="I250" s="7" t="s">
        <v>187</v>
      </c>
      <c r="J250" s="14"/>
      <c r="K250" s="14"/>
      <c r="L250" s="6"/>
      <c r="M250" s="6"/>
      <c r="N250" s="6"/>
      <c r="O250" s="6"/>
      <c r="P250" s="6"/>
      <c r="Q250" s="6"/>
      <c r="R250" s="11"/>
      <c r="S250" s="6"/>
      <c r="T250" s="6"/>
      <c r="U250" s="6"/>
      <c r="V250" s="6"/>
      <c r="W250" s="6"/>
      <c r="X250" s="6"/>
      <c r="Y250" s="6"/>
      <c r="Z250" s="6"/>
      <c r="AA250" s="6"/>
      <c r="AB250" s="6" t="str">
        <f t="shared" si="15"/>
        <v xml:space="preserve">sign_out_datetime DATE , </v>
      </c>
      <c r="AC250" s="6" t="str">
        <f t="shared" si="11"/>
        <v>COMMENT ON COLUMN consultation_doctor.sign_out_datetime IS '会诊医生签退时间';</v>
      </c>
      <c r="AD250" s="6"/>
    </row>
    <row r="251" spans="1:31">
      <c r="A251" s="3">
        <v>226</v>
      </c>
      <c r="B251" s="7" t="s">
        <v>257</v>
      </c>
      <c r="C251" s="6"/>
      <c r="D251" s="6" t="s">
        <v>509</v>
      </c>
      <c r="E251" s="10" t="s">
        <v>522</v>
      </c>
      <c r="F251" s="10"/>
      <c r="G251" s="10" t="s">
        <v>523</v>
      </c>
      <c r="H251" s="10" t="s">
        <v>108</v>
      </c>
      <c r="I251" s="7" t="s">
        <v>48</v>
      </c>
      <c r="J251" s="9">
        <v>100</v>
      </c>
      <c r="K251" s="9">
        <v>300</v>
      </c>
      <c r="L251" s="6"/>
      <c r="M251" s="6"/>
      <c r="N251" s="6"/>
      <c r="O251" s="6"/>
      <c r="P251" s="6"/>
      <c r="Q251" s="6"/>
      <c r="R251" s="11"/>
      <c r="S251" s="6"/>
      <c r="T251" s="6"/>
      <c r="U251" s="6"/>
      <c r="V251" s="6"/>
      <c r="W251" s="6"/>
      <c r="X251" s="6"/>
      <c r="Y251" s="6"/>
      <c r="Z251" s="6"/>
      <c r="AA251" s="6"/>
      <c r="AB251" s="6" t="str">
        <f t="shared" si="15"/>
        <v>absence_reason VARCHAR2(300) );</v>
      </c>
      <c r="AC251" s="6" t="str">
        <f t="shared" ref="AC251:AC277" si="16">"COMMENT ON COLUMN "&amp;D251&amp;"."&amp;E251&amp;" IS '"&amp;G251&amp;"';"</f>
        <v>COMMENT ON COLUMN consultation_doctor.absence_reason IS '缺勤原因';</v>
      </c>
      <c r="AD251" s="6"/>
    </row>
    <row r="252" spans="1:31">
      <c r="A252" s="3">
        <v>227</v>
      </c>
      <c r="B252" s="3" t="s">
        <v>257</v>
      </c>
      <c r="C252" s="4" t="s">
        <v>524</v>
      </c>
      <c r="D252" s="24" t="s">
        <v>525</v>
      </c>
      <c r="E252" s="19" t="s">
        <v>526</v>
      </c>
      <c r="F252" s="19"/>
      <c r="G252" s="19" t="s">
        <v>527</v>
      </c>
      <c r="H252" s="19" t="s">
        <v>262</v>
      </c>
      <c r="I252" s="3" t="s">
        <v>128</v>
      </c>
      <c r="J252" s="3">
        <v>8</v>
      </c>
      <c r="K252" s="3">
        <v>8</v>
      </c>
      <c r="L252" s="4"/>
      <c r="M252" s="4"/>
      <c r="N252" s="3" t="s">
        <v>38</v>
      </c>
      <c r="O252" s="3"/>
      <c r="P252" s="3" t="s">
        <v>38</v>
      </c>
      <c r="Q252" s="4"/>
      <c r="R252" s="12"/>
      <c r="S252" s="4"/>
      <c r="T252" s="4"/>
      <c r="U252" s="4"/>
      <c r="V252" s="4"/>
      <c r="W252" s="4"/>
      <c r="X252" s="4"/>
      <c r="Y252" s="4"/>
      <c r="Z252" s="4"/>
      <c r="AA252" s="4"/>
      <c r="AB252" s="4" t="str">
        <f t="shared" si="12"/>
        <v xml:space="preserve">CREATE TABLE evaluation (evaluation_id NUMBER(8)  NOT NULL PRIMARY KEY , </v>
      </c>
      <c r="AC252" s="4" t="str">
        <f t="shared" si="16"/>
        <v>COMMENT ON COLUMN evaluation.evaluation_id IS '评价表标识';</v>
      </c>
      <c r="AD252" s="4" t="str">
        <f>"CREATE SEQUENCE seq_"&amp;D252&amp;" MINVALUE 1 MAXVALUE 9999999999999999999 INCREMENT BY 1 START WITH 1 CACHE 20 NOORDER NOCYCLE ;"</f>
        <v>CREATE SEQUENCE seq_evaluation MINVALUE 1 MAXVALUE 9999999999999999999 INCREMENT BY 1 START WITH 1 CACHE 20 NOORDER NOCYCLE ;</v>
      </c>
      <c r="AE252" s="5"/>
    </row>
    <row r="253" spans="1:31">
      <c r="A253" s="3">
        <v>228</v>
      </c>
      <c r="B253" s="7" t="s">
        <v>257</v>
      </c>
      <c r="C253" s="6"/>
      <c r="D253" s="32" t="s">
        <v>525</v>
      </c>
      <c r="E253" s="10" t="s">
        <v>528</v>
      </c>
      <c r="F253" s="10"/>
      <c r="G253" s="10" t="s">
        <v>529</v>
      </c>
      <c r="H253" s="10" t="s">
        <v>336</v>
      </c>
      <c r="I253" s="7" t="s">
        <v>48</v>
      </c>
      <c r="J253" s="9">
        <v>100</v>
      </c>
      <c r="K253" s="9">
        <v>300</v>
      </c>
      <c r="L253" s="6"/>
      <c r="M253" s="6"/>
      <c r="N253" s="6"/>
      <c r="O253" s="6"/>
      <c r="P253" s="6"/>
      <c r="Q253" s="6"/>
      <c r="R253" s="11"/>
      <c r="S253" s="6"/>
      <c r="T253" s="6"/>
      <c r="U253" s="6"/>
      <c r="V253" s="6"/>
      <c r="W253" s="6"/>
      <c r="X253" s="6"/>
      <c r="Y253" s="6"/>
      <c r="Z253" s="6"/>
      <c r="AA253" s="6"/>
      <c r="AB253" s="6" t="str">
        <f t="shared" si="12"/>
        <v xml:space="preserve">title VARCHAR2(300)  , </v>
      </c>
      <c r="AC253" s="6" t="str">
        <f t="shared" si="16"/>
        <v>COMMENT ON COLUMN evaluation.title IS '评价表标题';</v>
      </c>
      <c r="AD253" s="6"/>
    </row>
    <row r="254" spans="1:31">
      <c r="A254" s="3">
        <v>229</v>
      </c>
      <c r="B254" s="7" t="s">
        <v>257</v>
      </c>
      <c r="C254" s="6"/>
      <c r="D254" s="32" t="s">
        <v>525</v>
      </c>
      <c r="E254" s="10" t="s">
        <v>530</v>
      </c>
      <c r="F254" s="10"/>
      <c r="G254" s="10" t="s">
        <v>531</v>
      </c>
      <c r="H254" s="10" t="s">
        <v>108</v>
      </c>
      <c r="I254" s="7" t="s">
        <v>48</v>
      </c>
      <c r="J254" s="9">
        <v>200</v>
      </c>
      <c r="K254" s="9">
        <v>600</v>
      </c>
      <c r="L254" s="6"/>
      <c r="M254" s="6"/>
      <c r="N254" s="6"/>
      <c r="O254" s="6"/>
      <c r="P254" s="6"/>
      <c r="Q254" s="6"/>
      <c r="R254" s="11"/>
      <c r="S254" s="6"/>
      <c r="T254" s="6"/>
      <c r="U254" s="6"/>
      <c r="V254" s="6"/>
      <c r="W254" s="6"/>
      <c r="X254" s="6"/>
      <c r="Y254" s="6"/>
      <c r="Z254" s="6"/>
      <c r="AA254" s="6"/>
      <c r="AB254" s="6" t="str">
        <f t="shared" si="12"/>
        <v xml:space="preserve">brief VARCHAR2(600)  , </v>
      </c>
      <c r="AC254" s="6" t="str">
        <f t="shared" si="16"/>
        <v>COMMENT ON COLUMN evaluation.brief IS '摘要';</v>
      </c>
      <c r="AD254" s="6"/>
    </row>
    <row r="255" spans="1:31">
      <c r="A255" s="3">
        <v>230</v>
      </c>
      <c r="B255" s="7" t="s">
        <v>257</v>
      </c>
      <c r="C255" s="6"/>
      <c r="D255" s="32" t="s">
        <v>525</v>
      </c>
      <c r="E255" s="10" t="s">
        <v>532</v>
      </c>
      <c r="F255" s="10"/>
      <c r="G255" s="10" t="s">
        <v>27</v>
      </c>
      <c r="H255" s="10" t="s">
        <v>108</v>
      </c>
      <c r="I255" s="10" t="s">
        <v>48</v>
      </c>
      <c r="J255" s="9">
        <v>200</v>
      </c>
      <c r="K255" s="9">
        <v>600</v>
      </c>
      <c r="L255" s="6"/>
      <c r="M255" s="6"/>
      <c r="N255" s="6"/>
      <c r="O255" s="6"/>
      <c r="P255" s="6"/>
      <c r="Q255" s="6"/>
      <c r="R255" s="11"/>
      <c r="S255" s="6"/>
      <c r="T255" s="6"/>
      <c r="U255" s="6"/>
      <c r="V255" s="6"/>
      <c r="W255" s="6"/>
      <c r="X255" s="6"/>
      <c r="Y255" s="6"/>
      <c r="Z255" s="6"/>
      <c r="AA255" s="6"/>
      <c r="AB255" s="6" t="str">
        <f t="shared" si="12"/>
        <v xml:space="preserve">note VARCHAR2(600)  , </v>
      </c>
      <c r="AC255" s="6" t="str">
        <f t="shared" si="16"/>
        <v>COMMENT ON COLUMN evaluation.note IS '备注';</v>
      </c>
      <c r="AD255" s="6"/>
    </row>
    <row r="256" spans="1:31">
      <c r="A256" s="3">
        <v>231</v>
      </c>
      <c r="B256" s="7" t="s">
        <v>257</v>
      </c>
      <c r="C256" s="6"/>
      <c r="D256" s="32" t="s">
        <v>525</v>
      </c>
      <c r="E256" s="10" t="s">
        <v>307</v>
      </c>
      <c r="F256" s="10"/>
      <c r="G256" s="10" t="s">
        <v>308</v>
      </c>
      <c r="H256" s="10" t="s">
        <v>309</v>
      </c>
      <c r="I256" s="7" t="s">
        <v>187</v>
      </c>
      <c r="J256" s="14"/>
      <c r="K256" s="14"/>
      <c r="L256" s="6"/>
      <c r="M256" s="6"/>
      <c r="N256" s="6"/>
      <c r="O256" s="6"/>
      <c r="P256" s="6"/>
      <c r="Q256" s="6"/>
      <c r="R256" s="11"/>
      <c r="S256" s="6"/>
      <c r="T256" s="6"/>
      <c r="U256" s="6"/>
      <c r="V256" s="6"/>
      <c r="W256" s="6"/>
      <c r="X256" s="6"/>
      <c r="Y256" s="6"/>
      <c r="Z256" s="6"/>
      <c r="AA256" s="6"/>
      <c r="AB256" s="6" t="str">
        <f t="shared" si="12"/>
        <v xml:space="preserve">create_time DATE , </v>
      </c>
      <c r="AC256" s="6" t="str">
        <f t="shared" si="16"/>
        <v>COMMENT ON COLUMN evaluation.create_time IS '创建时间';</v>
      </c>
      <c r="AD256" s="6"/>
    </row>
    <row r="257" spans="1:31">
      <c r="A257" s="3">
        <v>232</v>
      </c>
      <c r="B257" s="7" t="s">
        <v>257</v>
      </c>
      <c r="C257" s="6"/>
      <c r="D257" s="32" t="s">
        <v>525</v>
      </c>
      <c r="E257" s="10" t="s">
        <v>305</v>
      </c>
      <c r="F257" s="10"/>
      <c r="G257" s="10" t="s">
        <v>533</v>
      </c>
      <c r="H257" s="10" t="s">
        <v>36</v>
      </c>
      <c r="I257" s="10" t="s">
        <v>177</v>
      </c>
      <c r="J257" s="9">
        <v>11</v>
      </c>
      <c r="K257" s="9">
        <v>11</v>
      </c>
      <c r="L257" s="6"/>
      <c r="M257" s="6"/>
      <c r="N257" s="6"/>
      <c r="O257" s="6"/>
      <c r="P257" s="6"/>
      <c r="Q257" s="6"/>
      <c r="R257" s="11"/>
      <c r="S257" s="6"/>
      <c r="T257" s="6"/>
      <c r="U257" s="6"/>
      <c r="V257" s="6"/>
      <c r="W257" s="6"/>
      <c r="X257" s="6"/>
      <c r="Y257" s="6"/>
      <c r="Z257" s="6"/>
      <c r="AA257" s="6"/>
      <c r="AB257" s="6" t="str">
        <f t="shared" si="12"/>
        <v>creator NUMBER(11) );</v>
      </c>
      <c r="AC257" s="6" t="str">
        <f t="shared" si="16"/>
        <v>COMMENT ON COLUMN evaluation.creator IS '创建者标识';</v>
      </c>
      <c r="AD257" s="6"/>
    </row>
    <row r="258" spans="1:31">
      <c r="A258" s="3">
        <v>233</v>
      </c>
      <c r="B258" s="3" t="s">
        <v>257</v>
      </c>
      <c r="C258" s="4" t="s">
        <v>534</v>
      </c>
      <c r="D258" s="24" t="s">
        <v>535</v>
      </c>
      <c r="E258" s="19" t="s">
        <v>526</v>
      </c>
      <c r="F258" s="19"/>
      <c r="G258" s="19" t="s">
        <v>527</v>
      </c>
      <c r="H258" s="3" t="s">
        <v>36</v>
      </c>
      <c r="I258" s="3" t="s">
        <v>128</v>
      </c>
      <c r="J258" s="3">
        <v>8</v>
      </c>
      <c r="K258" s="3">
        <v>8</v>
      </c>
      <c r="L258" s="4"/>
      <c r="M258" s="4"/>
      <c r="N258" s="3" t="s">
        <v>38</v>
      </c>
      <c r="O258" s="3"/>
      <c r="P258" s="3" t="s">
        <v>38</v>
      </c>
      <c r="Q258" s="4"/>
      <c r="R258" s="12"/>
      <c r="S258" s="4"/>
      <c r="T258" s="4"/>
      <c r="U258" s="4"/>
      <c r="V258" s="4"/>
      <c r="W258" s="4"/>
      <c r="X258" s="4"/>
      <c r="Y258" s="4"/>
      <c r="Z258" s="4"/>
      <c r="AA258" s="4"/>
      <c r="AB258" s="4" t="str">
        <f t="shared" si="12"/>
        <v xml:space="preserve">CREATE TABLE evaluation_item (evaluation_id NUMBER(8)  NOT NULL PRIMARY KEY , </v>
      </c>
      <c r="AC258" s="4" t="str">
        <f t="shared" si="16"/>
        <v>COMMENT ON COLUMN evaluation_item.evaluation_id IS '评价表标识';</v>
      </c>
      <c r="AD258" s="4" t="str">
        <f>"CREATE SEQUENCE seq_"&amp;D258&amp;" MINVALUE 1 MAXVALUE 9999999999999999999 INCREMENT BY 1 START WITH 1 CACHE 20 NOORDER NOCYCLE ;"</f>
        <v>CREATE SEQUENCE seq_evaluation_item MINVALUE 1 MAXVALUE 9999999999999999999 INCREMENT BY 1 START WITH 1 CACHE 20 NOORDER NOCYCLE ;</v>
      </c>
      <c r="AE258" s="5"/>
    </row>
    <row r="259" spans="1:31">
      <c r="A259" s="3">
        <v>234</v>
      </c>
      <c r="B259" s="7" t="s">
        <v>257</v>
      </c>
      <c r="C259" s="7"/>
      <c r="D259" s="32" t="s">
        <v>535</v>
      </c>
      <c r="E259" s="10" t="s">
        <v>536</v>
      </c>
      <c r="F259" s="10"/>
      <c r="G259" s="10" t="s">
        <v>537</v>
      </c>
      <c r="H259" s="7" t="s">
        <v>36</v>
      </c>
      <c r="I259" s="7" t="s">
        <v>128</v>
      </c>
      <c r="J259" s="7">
        <v>8</v>
      </c>
      <c r="K259" s="7">
        <v>8</v>
      </c>
      <c r="L259" s="6"/>
      <c r="M259" s="6"/>
      <c r="N259" s="7" t="s">
        <v>38</v>
      </c>
      <c r="O259" s="7"/>
      <c r="P259" s="7" t="s">
        <v>38</v>
      </c>
      <c r="Q259" s="6"/>
      <c r="R259" s="11"/>
      <c r="S259" s="6"/>
      <c r="T259" s="6"/>
      <c r="U259" s="6"/>
      <c r="V259" s="6"/>
      <c r="W259" s="6"/>
      <c r="X259" s="6"/>
      <c r="Y259" s="6"/>
      <c r="Z259" s="6"/>
      <c r="AA259" s="6"/>
      <c r="AB259" s="6" t="str">
        <f t="shared" si="12"/>
        <v xml:space="preserve">item_id NUMBER(8)  NOT NULL PRIMARY KEY , </v>
      </c>
      <c r="AC259" s="6" t="str">
        <f t="shared" si="16"/>
        <v>COMMENT ON COLUMN evaluation_item.item_id IS '评价项标识';</v>
      </c>
      <c r="AD259" s="6"/>
    </row>
    <row r="260" spans="1:31">
      <c r="A260" s="3">
        <v>235</v>
      </c>
      <c r="B260" s="7" t="s">
        <v>257</v>
      </c>
      <c r="C260" s="6"/>
      <c r="D260" s="32" t="s">
        <v>535</v>
      </c>
      <c r="E260" s="10" t="s">
        <v>450</v>
      </c>
      <c r="F260" s="10"/>
      <c r="G260" s="10" t="s">
        <v>538</v>
      </c>
      <c r="H260" s="10" t="s">
        <v>336</v>
      </c>
      <c r="I260" s="7" t="s">
        <v>48</v>
      </c>
      <c r="J260" s="9">
        <v>200</v>
      </c>
      <c r="K260" s="9">
        <v>600</v>
      </c>
      <c r="L260" s="6"/>
      <c r="M260" s="6"/>
      <c r="N260" s="6"/>
      <c r="O260" s="6"/>
      <c r="P260" s="6"/>
      <c r="Q260" s="6"/>
      <c r="R260" s="11"/>
      <c r="S260" s="6"/>
      <c r="T260" s="6"/>
      <c r="U260" s="6"/>
      <c r="V260" s="6"/>
      <c r="W260" s="6"/>
      <c r="X260" s="6"/>
      <c r="Y260" s="6"/>
      <c r="Z260" s="6"/>
      <c r="AA260" s="6"/>
      <c r="AB260" s="6" t="str">
        <f t="shared" si="12"/>
        <v>content VARCHAR2(600) );</v>
      </c>
      <c r="AC260" s="6" t="str">
        <f t="shared" si="16"/>
        <v>COMMENT ON COLUMN evaluation_item.content IS '评价项内容';</v>
      </c>
      <c r="AD260" s="6"/>
    </row>
    <row r="261" spans="1:31">
      <c r="A261" s="3">
        <v>236</v>
      </c>
      <c r="B261" s="3" t="s">
        <v>257</v>
      </c>
      <c r="C261" s="33" t="s">
        <v>539</v>
      </c>
      <c r="D261" s="24" t="s">
        <v>540</v>
      </c>
      <c r="E261" s="19" t="s">
        <v>526</v>
      </c>
      <c r="F261" s="19"/>
      <c r="G261" s="19" t="s">
        <v>527</v>
      </c>
      <c r="H261" s="3" t="s">
        <v>36</v>
      </c>
      <c r="I261" s="3" t="s">
        <v>128</v>
      </c>
      <c r="J261" s="3">
        <v>8</v>
      </c>
      <c r="K261" s="3">
        <v>8</v>
      </c>
      <c r="L261" s="4"/>
      <c r="M261" s="4"/>
      <c r="N261" s="3" t="s">
        <v>38</v>
      </c>
      <c r="O261" s="3"/>
      <c r="P261" s="3" t="s">
        <v>38</v>
      </c>
      <c r="Q261" s="4"/>
      <c r="R261" s="12"/>
      <c r="S261" s="4"/>
      <c r="T261" s="4"/>
      <c r="U261" s="4"/>
      <c r="V261" s="4"/>
      <c r="W261" s="4"/>
      <c r="X261" s="4"/>
      <c r="Y261" s="4"/>
      <c r="Z261" s="4"/>
      <c r="AA261" s="4"/>
      <c r="AB261" s="4" t="str">
        <f t="shared" si="12"/>
        <v xml:space="preserve">CREATE TABLE evaluation_option (evaluation_id NUMBER(8)  NOT NULL PRIMARY KEY , </v>
      </c>
      <c r="AC261" s="4" t="str">
        <f t="shared" si="16"/>
        <v>COMMENT ON COLUMN evaluation_option.evaluation_id IS '评价表标识';</v>
      </c>
      <c r="AD261" s="4" t="str">
        <f>"CREATE SEQUENCE seq_"&amp;D261&amp;" MINVALUE 1 MAXVALUE 9999999999999999999 INCREMENT BY 1 START WITH 1 CACHE 20 NOORDER NOCYCLE ;"</f>
        <v>CREATE SEQUENCE seq_evaluation_option MINVALUE 1 MAXVALUE 9999999999999999999 INCREMENT BY 1 START WITH 1 CACHE 20 NOORDER NOCYCLE ;</v>
      </c>
      <c r="AE261" s="5"/>
    </row>
    <row r="262" spans="1:31">
      <c r="A262" s="3">
        <v>237</v>
      </c>
      <c r="B262" s="7" t="s">
        <v>257</v>
      </c>
      <c r="C262" s="32"/>
      <c r="D262" s="32" t="s">
        <v>540</v>
      </c>
      <c r="E262" s="10" t="s">
        <v>536</v>
      </c>
      <c r="F262" s="10"/>
      <c r="G262" s="10" t="s">
        <v>537</v>
      </c>
      <c r="H262" s="7" t="s">
        <v>36</v>
      </c>
      <c r="I262" s="7" t="s">
        <v>128</v>
      </c>
      <c r="J262" s="7">
        <v>8</v>
      </c>
      <c r="K262" s="7">
        <v>8</v>
      </c>
      <c r="L262" s="6"/>
      <c r="M262" s="6"/>
      <c r="N262" s="7" t="s">
        <v>38</v>
      </c>
      <c r="O262" s="7"/>
      <c r="P262" s="7" t="s">
        <v>378</v>
      </c>
      <c r="Q262" s="6"/>
      <c r="R262" s="11"/>
      <c r="S262" s="6"/>
      <c r="T262" s="6"/>
      <c r="U262" s="6"/>
      <c r="V262" s="6"/>
      <c r="W262" s="6"/>
      <c r="X262" s="6"/>
      <c r="Y262" s="6"/>
      <c r="Z262" s="6"/>
      <c r="AA262" s="6"/>
      <c r="AB262" s="6" t="str">
        <f t="shared" si="12"/>
        <v xml:space="preserve">item_id NUMBER(8)  NOT NULL PRIMARY KEY , </v>
      </c>
      <c r="AC262" s="6" t="str">
        <f t="shared" si="16"/>
        <v>COMMENT ON COLUMN evaluation_option.item_id IS '评价项标识';</v>
      </c>
      <c r="AD262" s="6"/>
    </row>
    <row r="263" spans="1:31">
      <c r="A263" s="3">
        <v>238</v>
      </c>
      <c r="B263" s="7" t="s">
        <v>257</v>
      </c>
      <c r="C263" s="6"/>
      <c r="D263" s="32" t="s">
        <v>540</v>
      </c>
      <c r="E263" s="10" t="s">
        <v>541</v>
      </c>
      <c r="F263" s="10"/>
      <c r="G263" s="10" t="s">
        <v>542</v>
      </c>
      <c r="H263" s="7" t="s">
        <v>36</v>
      </c>
      <c r="I263" s="7" t="s">
        <v>128</v>
      </c>
      <c r="J263" s="7">
        <v>8</v>
      </c>
      <c r="K263" s="7">
        <v>8</v>
      </c>
      <c r="L263" s="6"/>
      <c r="M263" s="6"/>
      <c r="N263" s="6"/>
      <c r="O263" s="6"/>
      <c r="P263" s="6" t="s">
        <v>378</v>
      </c>
      <c r="Q263" s="6"/>
      <c r="R263" s="11"/>
      <c r="S263" s="6"/>
      <c r="T263" s="6"/>
      <c r="U263" s="6"/>
      <c r="V263" s="6"/>
      <c r="W263" s="6"/>
      <c r="X263" s="6"/>
      <c r="Y263" s="6"/>
      <c r="Z263" s="6"/>
      <c r="AA263" s="6"/>
      <c r="AB263" s="6" t="str">
        <f t="shared" si="12"/>
        <v xml:space="preserve">option_id NUMBER(8)  NOT NULL , </v>
      </c>
      <c r="AC263" s="6" t="str">
        <f t="shared" si="16"/>
        <v>COMMENT ON COLUMN evaluation_option.option_id IS '评价选项标识';</v>
      </c>
      <c r="AD263" s="6"/>
    </row>
    <row r="264" spans="1:31">
      <c r="A264" s="3">
        <v>239</v>
      </c>
      <c r="B264" s="7" t="s">
        <v>257</v>
      </c>
      <c r="C264" s="6"/>
      <c r="D264" s="32" t="s">
        <v>540</v>
      </c>
      <c r="E264" s="10" t="s">
        <v>450</v>
      </c>
      <c r="F264" s="10"/>
      <c r="G264" s="10" t="s">
        <v>543</v>
      </c>
      <c r="H264" s="10" t="s">
        <v>47</v>
      </c>
      <c r="I264" s="7" t="s">
        <v>48</v>
      </c>
      <c r="J264" s="9">
        <v>100</v>
      </c>
      <c r="K264" s="9">
        <v>300</v>
      </c>
      <c r="L264" s="6"/>
      <c r="M264" s="6"/>
      <c r="N264" s="6"/>
      <c r="O264" s="6"/>
      <c r="P264" s="6"/>
      <c r="Q264" s="6"/>
      <c r="R264" s="11"/>
      <c r="S264" s="6"/>
      <c r="T264" s="6"/>
      <c r="U264" s="6"/>
      <c r="V264" s="6"/>
      <c r="W264" s="6"/>
      <c r="X264" s="6"/>
      <c r="Y264" s="6"/>
      <c r="Z264" s="6"/>
      <c r="AA264" s="6"/>
      <c r="AB264" s="6" t="str">
        <f t="shared" si="12"/>
        <v xml:space="preserve">content VARCHAR2(300)  , </v>
      </c>
      <c r="AC264" s="6" t="str">
        <f t="shared" si="16"/>
        <v>COMMENT ON COLUMN evaluation_option.content IS '评价选项内容';</v>
      </c>
      <c r="AD264" s="6"/>
    </row>
    <row r="265" spans="1:31">
      <c r="A265" s="3">
        <v>240</v>
      </c>
      <c r="B265" s="7" t="s">
        <v>257</v>
      </c>
      <c r="C265" s="6"/>
      <c r="D265" s="32" t="s">
        <v>540</v>
      </c>
      <c r="E265" s="10" t="s">
        <v>544</v>
      </c>
      <c r="F265" s="10"/>
      <c r="G265" s="10" t="s">
        <v>545</v>
      </c>
      <c r="H265" s="7" t="s">
        <v>36</v>
      </c>
      <c r="I265" s="10" t="s">
        <v>128</v>
      </c>
      <c r="J265" s="7">
        <v>8</v>
      </c>
      <c r="K265" s="7">
        <v>8</v>
      </c>
      <c r="L265" s="6"/>
      <c r="M265" s="6"/>
      <c r="N265" s="6"/>
      <c r="O265" s="6"/>
      <c r="P265" s="6"/>
      <c r="Q265" s="6"/>
      <c r="R265" s="11">
        <v>0</v>
      </c>
      <c r="S265" s="6"/>
      <c r="T265" s="6"/>
      <c r="U265" s="6"/>
      <c r="V265" s="6"/>
      <c r="W265" s="6"/>
      <c r="X265" s="6"/>
      <c r="Y265" s="6"/>
      <c r="Z265" s="6"/>
      <c r="AA265" s="6"/>
      <c r="AB265" s="6" t="str">
        <f t="shared" si="12"/>
        <v>score NUMBER(8) );</v>
      </c>
      <c r="AC265" s="6" t="str">
        <f t="shared" si="16"/>
        <v>COMMENT ON COLUMN evaluation_option.score IS '评价选项分值';</v>
      </c>
      <c r="AD265" s="6"/>
    </row>
    <row r="266" spans="1:31">
      <c r="A266" s="3">
        <v>241</v>
      </c>
      <c r="B266" s="3" t="s">
        <v>257</v>
      </c>
      <c r="C266" s="4" t="s">
        <v>546</v>
      </c>
      <c r="D266" s="4" t="s">
        <v>547</v>
      </c>
      <c r="E266" s="19" t="s">
        <v>548</v>
      </c>
      <c r="F266" s="19"/>
      <c r="G266" s="19" t="s">
        <v>549</v>
      </c>
      <c r="H266" s="34" t="s">
        <v>36</v>
      </c>
      <c r="I266" s="3" t="s">
        <v>65</v>
      </c>
      <c r="J266" s="34">
        <v>11</v>
      </c>
      <c r="K266" s="34">
        <v>11</v>
      </c>
      <c r="L266" s="4"/>
      <c r="M266" s="4"/>
      <c r="N266" s="3" t="s">
        <v>38</v>
      </c>
      <c r="O266" s="4"/>
      <c r="P266" s="4" t="s">
        <v>378</v>
      </c>
      <c r="Q266" s="4"/>
      <c r="R266" s="12"/>
      <c r="S266" s="4"/>
      <c r="T266" s="4"/>
      <c r="U266" s="4"/>
      <c r="V266" s="4"/>
      <c r="W266" s="4"/>
      <c r="X266" s="4"/>
      <c r="Y266" s="4"/>
      <c r="Z266" s="4"/>
      <c r="AA266" s="4"/>
      <c r="AB266" s="4" t="str">
        <f t="shared" si="12"/>
        <v xml:space="preserve">CREATE TABLE poll (poll_id NUMBER(11)  NOT NULL PRIMARY KEY , </v>
      </c>
      <c r="AC266" s="4" t="str">
        <f t="shared" si="16"/>
        <v>COMMENT ON COLUMN poll.poll_id IS '会诊评价单标识';</v>
      </c>
      <c r="AD266" s="4" t="str">
        <f>"CREATE SEQUENCE seq_"&amp;D266&amp;" MINVALUE 1 MAXVALUE 9999999999999999999 INCREMENT BY 1 START WITH 1 CACHE 20 NOORDER NOCYCLE ;"</f>
        <v>CREATE SEQUENCE seq_poll MINVALUE 1 MAXVALUE 9999999999999999999 INCREMENT BY 1 START WITH 1 CACHE 20 NOORDER NOCYCLE ;</v>
      </c>
      <c r="AE266" s="5"/>
    </row>
    <row r="267" spans="1:31">
      <c r="A267" s="3">
        <v>242</v>
      </c>
      <c r="B267" s="7" t="s">
        <v>257</v>
      </c>
      <c r="C267" s="6"/>
      <c r="D267" s="6" t="s">
        <v>547</v>
      </c>
      <c r="E267" s="10" t="s">
        <v>550</v>
      </c>
      <c r="F267" s="10"/>
      <c r="G267" s="10" t="s">
        <v>551</v>
      </c>
      <c r="H267" s="25" t="s">
        <v>36</v>
      </c>
      <c r="I267" s="7" t="s">
        <v>128</v>
      </c>
      <c r="J267" s="25">
        <v>8</v>
      </c>
      <c r="K267" s="25">
        <v>8</v>
      </c>
      <c r="L267" s="6"/>
      <c r="M267" s="6"/>
      <c r="N267" s="7"/>
      <c r="O267" s="7"/>
      <c r="P267" s="7" t="s">
        <v>378</v>
      </c>
      <c r="Q267" s="6"/>
      <c r="R267" s="11"/>
      <c r="S267" s="6"/>
      <c r="T267" s="6"/>
      <c r="U267" s="6"/>
      <c r="V267" s="6"/>
      <c r="W267" s="6"/>
      <c r="X267" s="6"/>
      <c r="Y267" s="6"/>
      <c r="Z267" s="6"/>
      <c r="AA267" s="6"/>
      <c r="AB267" s="6" t="str">
        <f t="shared" si="12"/>
        <v xml:space="preserve">poll_clinic_id NUMBER(8)  NOT NULL , </v>
      </c>
      <c r="AC267" s="6" t="str">
        <f t="shared" si="16"/>
        <v>COMMENT ON COLUMN poll.poll_clinic_id IS '评价科室标识';</v>
      </c>
      <c r="AD267" s="6"/>
    </row>
    <row r="268" spans="1:31">
      <c r="A268" s="3">
        <v>243</v>
      </c>
      <c r="B268" s="7" t="s">
        <v>257</v>
      </c>
      <c r="C268" s="6"/>
      <c r="D268" s="6" t="s">
        <v>547</v>
      </c>
      <c r="E268" s="10" t="s">
        <v>373</v>
      </c>
      <c r="F268" s="10"/>
      <c r="G268" s="10" t="s">
        <v>374</v>
      </c>
      <c r="H268" s="7" t="s">
        <v>36</v>
      </c>
      <c r="I268" s="7" t="s">
        <v>65</v>
      </c>
      <c r="J268" s="25">
        <v>11</v>
      </c>
      <c r="K268" s="25">
        <v>11</v>
      </c>
      <c r="L268" s="6"/>
      <c r="M268" s="6"/>
      <c r="N268" s="7"/>
      <c r="O268" s="7"/>
      <c r="P268" s="7" t="s">
        <v>378</v>
      </c>
      <c r="Q268" s="6"/>
      <c r="R268" s="11"/>
      <c r="S268" s="6"/>
      <c r="T268" s="6"/>
      <c r="U268" s="6"/>
      <c r="V268" s="6"/>
      <c r="W268" s="6"/>
      <c r="X268" s="6"/>
      <c r="Y268" s="6"/>
      <c r="Z268" s="6"/>
      <c r="AA268" s="6"/>
      <c r="AB268" s="6" t="str">
        <f t="shared" si="12"/>
        <v xml:space="preserve">consultation_id NUMBER(11)  NOT NULL , </v>
      </c>
      <c r="AC268" s="6" t="str">
        <f t="shared" si="16"/>
        <v>COMMENT ON COLUMN poll.consultation_id IS '会诊单标识';</v>
      </c>
      <c r="AD268" s="6"/>
    </row>
    <row r="269" spans="1:31">
      <c r="A269" s="3">
        <v>244</v>
      </c>
      <c r="B269" s="7" t="s">
        <v>257</v>
      </c>
      <c r="C269" s="6"/>
      <c r="D269" s="6" t="s">
        <v>547</v>
      </c>
      <c r="E269" s="10" t="s">
        <v>526</v>
      </c>
      <c r="F269" s="10"/>
      <c r="G269" s="10" t="s">
        <v>527</v>
      </c>
      <c r="H269" s="25" t="s">
        <v>36</v>
      </c>
      <c r="I269" s="7" t="s">
        <v>128</v>
      </c>
      <c r="J269" s="25">
        <v>8</v>
      </c>
      <c r="K269" s="25">
        <v>8</v>
      </c>
      <c r="L269" s="6"/>
      <c r="M269" s="6"/>
      <c r="N269" s="7"/>
      <c r="O269" s="7"/>
      <c r="P269" s="7" t="s">
        <v>38</v>
      </c>
      <c r="Q269" s="6"/>
      <c r="R269" s="11"/>
      <c r="S269" s="6"/>
      <c r="T269" s="6"/>
      <c r="U269" s="6"/>
      <c r="V269" s="6"/>
      <c r="W269" s="6"/>
      <c r="X269" s="6"/>
      <c r="Y269" s="6"/>
      <c r="Z269" s="6"/>
      <c r="AA269" s="6"/>
      <c r="AB269" s="6" t="str">
        <f t="shared" si="12"/>
        <v xml:space="preserve">evaluation_id NUMBER(8)  NOT NULL , </v>
      </c>
      <c r="AC269" s="6" t="str">
        <f t="shared" si="16"/>
        <v>COMMENT ON COLUMN poll.evaluation_id IS '评价表标识';</v>
      </c>
      <c r="AD269" s="6"/>
    </row>
    <row r="270" spans="1:31">
      <c r="A270" s="3">
        <v>245</v>
      </c>
      <c r="B270" s="7" t="s">
        <v>257</v>
      </c>
      <c r="C270" s="6"/>
      <c r="D270" s="6" t="s">
        <v>547</v>
      </c>
      <c r="E270" s="13" t="s">
        <v>289</v>
      </c>
      <c r="F270" s="13"/>
      <c r="G270" s="13" t="s">
        <v>552</v>
      </c>
      <c r="H270" s="25" t="s">
        <v>36</v>
      </c>
      <c r="I270" s="7" t="s">
        <v>128</v>
      </c>
      <c r="J270" s="25">
        <v>8</v>
      </c>
      <c r="K270" s="25">
        <v>8</v>
      </c>
      <c r="L270" s="6"/>
      <c r="M270" s="6"/>
      <c r="N270" s="7"/>
      <c r="O270" s="7"/>
      <c r="P270" s="7"/>
      <c r="Q270" s="6"/>
      <c r="R270" s="11"/>
      <c r="S270" s="6"/>
      <c r="T270" s="6"/>
      <c r="U270" s="6"/>
      <c r="V270" s="6"/>
      <c r="W270" s="6"/>
      <c r="X270" s="6"/>
      <c r="Y270" s="6"/>
      <c r="Z270" s="6"/>
      <c r="AA270" s="6"/>
      <c r="AB270" s="6" t="str">
        <f t="shared" si="12"/>
        <v xml:space="preserve">clinic_id NUMBER(8)  , </v>
      </c>
      <c r="AC270" s="6" t="str">
        <f t="shared" si="16"/>
        <v>COMMENT ON COLUMN poll.clinic_id IS '被评价科室标识';</v>
      </c>
      <c r="AD270" s="6"/>
    </row>
    <row r="271" spans="1:31">
      <c r="A271" s="3">
        <v>246</v>
      </c>
      <c r="B271" s="7" t="s">
        <v>257</v>
      </c>
      <c r="C271" s="6"/>
      <c r="D271" s="6" t="s">
        <v>547</v>
      </c>
      <c r="E271" s="13" t="s">
        <v>544</v>
      </c>
      <c r="F271" s="13"/>
      <c r="G271" s="13" t="s">
        <v>553</v>
      </c>
      <c r="H271" s="25" t="s">
        <v>36</v>
      </c>
      <c r="I271" s="7" t="s">
        <v>128</v>
      </c>
      <c r="J271" s="25">
        <v>8</v>
      </c>
      <c r="K271" s="25">
        <v>8</v>
      </c>
      <c r="L271" s="6"/>
      <c r="M271" s="6"/>
      <c r="N271" s="7"/>
      <c r="O271" s="7"/>
      <c r="P271" s="7"/>
      <c r="Q271" s="6"/>
      <c r="R271" s="11">
        <v>0</v>
      </c>
      <c r="S271" s="6"/>
      <c r="T271" s="6"/>
      <c r="U271" s="6"/>
      <c r="V271" s="6"/>
      <c r="W271" s="6"/>
      <c r="X271" s="6"/>
      <c r="Y271" s="6"/>
      <c r="Z271" s="6"/>
      <c r="AA271" s="6"/>
      <c r="AB271" s="6" t="str">
        <f t="shared" si="12"/>
        <v xml:space="preserve">score NUMBER(8)  , </v>
      </c>
      <c r="AC271" s="6" t="str">
        <f t="shared" si="16"/>
        <v>COMMENT ON COLUMN poll.score IS '评价总分';</v>
      </c>
      <c r="AD271" s="6"/>
    </row>
    <row r="272" spans="1:31">
      <c r="A272" s="3">
        <v>247</v>
      </c>
      <c r="B272" s="7" t="s">
        <v>257</v>
      </c>
      <c r="C272" s="6"/>
      <c r="D272" s="6" t="s">
        <v>547</v>
      </c>
      <c r="E272" s="10" t="s">
        <v>554</v>
      </c>
      <c r="F272" s="10"/>
      <c r="G272" s="10" t="s">
        <v>555</v>
      </c>
      <c r="H272" s="13" t="s">
        <v>47</v>
      </c>
      <c r="I272" s="7" t="s">
        <v>48</v>
      </c>
      <c r="J272" s="9">
        <v>200</v>
      </c>
      <c r="K272" s="9">
        <v>600</v>
      </c>
      <c r="L272" s="6"/>
      <c r="M272" s="6"/>
      <c r="N272" s="7"/>
      <c r="O272" s="7"/>
      <c r="P272" s="7"/>
      <c r="Q272" s="6"/>
      <c r="R272" s="11"/>
      <c r="S272" s="6"/>
      <c r="T272" s="6"/>
      <c r="U272" s="6"/>
      <c r="V272" s="6"/>
      <c r="W272" s="6"/>
      <c r="X272" s="6"/>
      <c r="Y272" s="6"/>
      <c r="Z272" s="6"/>
      <c r="AA272" s="6"/>
      <c r="AB272" s="6" t="str">
        <f t="shared" si="12"/>
        <v xml:space="preserve">description VARCHAR2(600)  , </v>
      </c>
      <c r="AC272" s="6" t="str">
        <f t="shared" si="16"/>
        <v>COMMENT ON COLUMN poll.description IS '评价描述';</v>
      </c>
      <c r="AD272" s="6"/>
    </row>
    <row r="273" spans="1:31">
      <c r="A273" s="3">
        <v>248</v>
      </c>
      <c r="B273" s="7" t="s">
        <v>257</v>
      </c>
      <c r="C273" s="6"/>
      <c r="D273" s="6" t="s">
        <v>547</v>
      </c>
      <c r="E273" s="10" t="s">
        <v>286</v>
      </c>
      <c r="F273" s="10"/>
      <c r="G273" s="10" t="s">
        <v>556</v>
      </c>
      <c r="H273" s="25" t="s">
        <v>36</v>
      </c>
      <c r="I273" s="7" t="s">
        <v>65</v>
      </c>
      <c r="J273" s="25">
        <v>11</v>
      </c>
      <c r="K273" s="25">
        <v>11</v>
      </c>
      <c r="L273" s="6"/>
      <c r="M273" s="6"/>
      <c r="N273" s="6"/>
      <c r="O273" s="6"/>
      <c r="P273" s="6"/>
      <c r="Q273" s="6"/>
      <c r="R273" s="11"/>
      <c r="S273" s="6"/>
      <c r="T273" s="6"/>
      <c r="U273" s="6"/>
      <c r="V273" s="6"/>
      <c r="W273" s="6"/>
      <c r="X273" s="6"/>
      <c r="Y273" s="6"/>
      <c r="Z273" s="6"/>
      <c r="AA273" s="6"/>
      <c r="AB273" s="6" t="str">
        <f t="shared" si="12"/>
        <v xml:space="preserve">doctor_id NUMBER(11)  , </v>
      </c>
      <c r="AC273" s="6" t="str">
        <f t="shared" si="16"/>
        <v>COMMENT ON COLUMN poll.doctor_id IS '评价者标识';</v>
      </c>
      <c r="AD273" s="6"/>
    </row>
    <row r="274" spans="1:31">
      <c r="A274" s="3">
        <v>249</v>
      </c>
      <c r="B274" s="7" t="s">
        <v>257</v>
      </c>
      <c r="C274" s="6"/>
      <c r="D274" s="6" t="s">
        <v>547</v>
      </c>
      <c r="E274" s="13" t="s">
        <v>307</v>
      </c>
      <c r="F274" s="10"/>
      <c r="G274" s="13" t="s">
        <v>557</v>
      </c>
      <c r="H274" s="13" t="s">
        <v>186</v>
      </c>
      <c r="I274" s="10" t="s">
        <v>187</v>
      </c>
      <c r="J274" s="22"/>
      <c r="K274" s="22"/>
      <c r="L274" s="6"/>
      <c r="M274" s="6"/>
      <c r="N274" s="6"/>
      <c r="O274" s="6"/>
      <c r="P274" s="6"/>
      <c r="Q274" s="6"/>
      <c r="R274" s="11"/>
      <c r="S274" s="6"/>
      <c r="T274" s="6"/>
      <c r="U274" s="6"/>
      <c r="V274" s="6"/>
      <c r="W274" s="6"/>
      <c r="X274" s="6"/>
      <c r="Y274" s="6"/>
      <c r="Z274" s="6"/>
      <c r="AA274" s="6"/>
      <c r="AB274" s="6" t="str">
        <f t="shared" si="12"/>
        <v>create_time DATE);</v>
      </c>
      <c r="AC274" s="6" t="str">
        <f t="shared" si="16"/>
        <v>COMMENT ON COLUMN poll.create_time IS '创建时间';</v>
      </c>
      <c r="AD274" s="6"/>
    </row>
    <row r="275" spans="1:31">
      <c r="A275" s="3">
        <v>250</v>
      </c>
      <c r="B275" s="3" t="s">
        <v>257</v>
      </c>
      <c r="C275" s="4" t="s">
        <v>558</v>
      </c>
      <c r="D275" s="4" t="s">
        <v>559</v>
      </c>
      <c r="E275" s="18" t="s">
        <v>548</v>
      </c>
      <c r="F275" s="19"/>
      <c r="G275" s="18" t="s">
        <v>549</v>
      </c>
      <c r="H275" s="34" t="s">
        <v>36</v>
      </c>
      <c r="I275" s="3" t="s">
        <v>65</v>
      </c>
      <c r="J275" s="34">
        <v>11</v>
      </c>
      <c r="K275" s="34">
        <v>11</v>
      </c>
      <c r="L275" s="4"/>
      <c r="M275" s="4"/>
      <c r="N275" s="3" t="s">
        <v>38</v>
      </c>
      <c r="O275" s="3"/>
      <c r="P275" s="3" t="s">
        <v>38</v>
      </c>
      <c r="Q275" s="4"/>
      <c r="R275" s="12"/>
      <c r="S275" s="4"/>
      <c r="T275" s="4"/>
      <c r="U275" s="4"/>
      <c r="V275" s="4"/>
      <c r="W275" s="4"/>
      <c r="X275" s="4"/>
      <c r="Y275" s="4"/>
      <c r="Z275" s="4"/>
      <c r="AA275" s="4"/>
      <c r="AB275" s="4" t="str">
        <f t="shared" si="12"/>
        <v xml:space="preserve">CREATE TABLE poll_item (poll_id NUMBER(11)  NOT NULL PRIMARY KEY , </v>
      </c>
      <c r="AC275" s="4" t="str">
        <f t="shared" si="16"/>
        <v>COMMENT ON COLUMN poll_item.poll_id IS '会诊评价单标识';</v>
      </c>
      <c r="AD275" s="4" t="str">
        <f>"CREATE SEQUENCE seq_"&amp;D275&amp;" MINVALUE 1 MAXVALUE 9999999999999999999 INCREMENT BY 1 START WITH 1 CACHE 20 NOORDER NOCYCLE ;"</f>
        <v>CREATE SEQUENCE seq_poll_item MINVALUE 1 MAXVALUE 9999999999999999999 INCREMENT BY 1 START WITH 1 CACHE 20 NOORDER NOCYCLE ;</v>
      </c>
      <c r="AE275" s="5"/>
    </row>
    <row r="276" spans="1:31">
      <c r="A276" s="3">
        <v>251</v>
      </c>
      <c r="B276" s="7" t="s">
        <v>257</v>
      </c>
      <c r="C276" s="6"/>
      <c r="D276" s="6" t="s">
        <v>559</v>
      </c>
      <c r="E276" s="13" t="s">
        <v>536</v>
      </c>
      <c r="F276" s="10"/>
      <c r="G276" s="13" t="s">
        <v>537</v>
      </c>
      <c r="H276" s="25" t="s">
        <v>36</v>
      </c>
      <c r="I276" s="7" t="s">
        <v>128</v>
      </c>
      <c r="J276" s="25">
        <v>8</v>
      </c>
      <c r="K276" s="25">
        <v>8</v>
      </c>
      <c r="L276" s="6"/>
      <c r="M276" s="6"/>
      <c r="N276" s="7" t="s">
        <v>38</v>
      </c>
      <c r="O276" s="7"/>
      <c r="P276" s="7" t="s">
        <v>378</v>
      </c>
      <c r="Q276" s="6"/>
      <c r="R276" s="11"/>
      <c r="S276" s="6"/>
      <c r="T276" s="6"/>
      <c r="U276" s="6"/>
      <c r="V276" s="6"/>
      <c r="W276" s="6"/>
      <c r="X276" s="6"/>
      <c r="Y276" s="6"/>
      <c r="Z276" s="6"/>
      <c r="AA276" s="6"/>
      <c r="AB276" s="6" t="str">
        <f t="shared" si="12"/>
        <v xml:space="preserve">item_id NUMBER(8)  NOT NULL PRIMARY KEY , </v>
      </c>
      <c r="AC276" s="6" t="str">
        <f t="shared" si="16"/>
        <v>COMMENT ON COLUMN poll_item.item_id IS '评价项标识';</v>
      </c>
      <c r="AD276" s="6"/>
    </row>
    <row r="277" spans="1:31">
      <c r="A277" s="3">
        <v>252</v>
      </c>
      <c r="B277" s="7" t="s">
        <v>257</v>
      </c>
      <c r="C277" s="6"/>
      <c r="D277" s="6" t="s">
        <v>559</v>
      </c>
      <c r="E277" s="13" t="s">
        <v>560</v>
      </c>
      <c r="F277" s="10"/>
      <c r="G277" s="13" t="s">
        <v>561</v>
      </c>
      <c r="H277" s="25" t="s">
        <v>36</v>
      </c>
      <c r="I277" s="10" t="s">
        <v>37</v>
      </c>
      <c r="J277" s="25">
        <v>3</v>
      </c>
      <c r="K277" s="25">
        <v>3</v>
      </c>
      <c r="L277" s="6"/>
      <c r="M277" s="6"/>
      <c r="N277" s="6"/>
      <c r="O277" s="6"/>
      <c r="P277" s="6"/>
      <c r="Q277" s="6"/>
      <c r="R277" s="11">
        <v>0</v>
      </c>
      <c r="S277" s="6"/>
      <c r="T277" s="6"/>
      <c r="U277" s="6"/>
      <c r="V277" s="6"/>
      <c r="W277" s="6"/>
      <c r="X277" s="6"/>
      <c r="Y277" s="6"/>
      <c r="Z277" s="6"/>
      <c r="AA277" s="6"/>
      <c r="AB277" s="6" t="str">
        <f t="shared" si="12"/>
        <v>item_score NUMBER(3) );</v>
      </c>
      <c r="AC277" s="6" t="str">
        <f t="shared" si="16"/>
        <v>COMMENT ON COLUMN poll_item.item_score IS '评价项分值';</v>
      </c>
      <c r="AD277" s="6"/>
    </row>
  </sheetData>
  <phoneticPr fontId="1" type="noConversion"/>
  <conditionalFormatting sqref="AB258 AB261 AB266 AB275 AB31 AB40 AB49 AB61 AB73 AB76 AB78 AB81 AB83 AB94 AB101 AB106 AB115 AB128 AB159 AB197 AB202 AB210 AB219 AB221 AB227 AB2:AB11 AB252 AB242 AB236">
    <cfRule type="expression" dxfId="0" priority="1">
      <formula>"D2&lt;&gt;D1"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chenmaohua (陈茂华)</dc:creator>
  <cp:lastModifiedBy>chenmaohua (陈茂华)</cp:lastModifiedBy>
  <dcterms:created xsi:type="dcterms:W3CDTF">2006-09-13T11:21:51Z</dcterms:created>
  <dcterms:modified xsi:type="dcterms:W3CDTF">2012-06-24T09:46:11Z</dcterms:modified>
</cp:coreProperties>
</file>